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l List" sheetId="1" state="visible" r:id="rId1"/>
    <sheet xmlns:r="http://schemas.openxmlformats.org/officeDocument/2006/relationships" name="Complexes" sheetId="2" state="visible" r:id="rId2"/>
    <sheet xmlns:r="http://schemas.openxmlformats.org/officeDocument/2006/relationships" name="Contacts" sheetId="3" state="visible" r:id="rId3"/>
    <sheet xmlns:r="http://schemas.openxmlformats.org/officeDocument/2006/relationships" name="Assumptions" sheetId="4" state="visible" r:id="rId4"/>
    <sheet xmlns:r="http://schemas.openxmlformats.org/officeDocument/2006/relationships" name="Portaria 140 - Mechanics" sheetId="5" state="visible" r:id="rId5"/>
    <sheet xmlns:r="http://schemas.openxmlformats.org/officeDocument/2006/relationships" name="Call Script" sheetId="6" state="visible" r:id="rId6"/>
    <sheet xmlns:r="http://schemas.openxmlformats.org/officeDocument/2006/relationships" name="Sources"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4">
    <font>
      <name val="Calibri"/>
      <family val="2"/>
      <color theme="1"/>
      <sz val="11"/>
      <scheme val="minor"/>
    </font>
    <font>
      <name val="Arial"/>
      <b val="1"/>
      <color rgb="001F3864"/>
      <sz val="14"/>
    </font>
    <font>
      <name val="Arial"/>
      <i val="1"/>
      <color rgb="00595959"/>
      <sz val="9"/>
    </font>
    <font>
      <name val="Arial"/>
      <b val="1"/>
      <color rgb="00FFFFFF"/>
      <sz val="9"/>
    </font>
    <font>
      <name val="Arial"/>
      <b val="1"/>
      <color rgb="001F3864"/>
      <sz val="10"/>
    </font>
    <font>
      <name val="Arial"/>
      <color rgb="00000000"/>
      <sz val="9"/>
    </font>
    <font>
      <name val="Arial"/>
      <b val="1"/>
      <color rgb="00000000"/>
      <sz val="9"/>
    </font>
    <font>
      <name val="Arial"/>
      <color rgb="000000FF"/>
      <sz val="9"/>
    </font>
    <font>
      <name val="Arial"/>
      <b val="1"/>
      <color rgb="00BF8F00"/>
      <sz val="9"/>
    </font>
    <font>
      <name val="Arial"/>
      <color rgb="00C00000"/>
      <sz val="9"/>
    </font>
    <font>
      <name val="Arial"/>
      <b val="1"/>
      <color rgb="00008000"/>
      <sz val="9"/>
    </font>
    <font>
      <name val="Arial"/>
      <b val="1"/>
      <color rgb="00C00000"/>
      <sz val="9"/>
    </font>
    <font>
      <name val="Arial"/>
      <i val="1"/>
      <color rgb="00C00000"/>
      <sz val="9"/>
    </font>
    <font>
      <name val="Arial"/>
      <color rgb="000563C1"/>
      <sz val="9"/>
    </font>
  </fonts>
  <fills count="6">
    <fill>
      <patternFill/>
    </fill>
    <fill>
      <patternFill patternType="gray125"/>
    </fill>
    <fill>
      <patternFill patternType="solid">
        <fgColor rgb="001F3864"/>
      </patternFill>
    </fill>
    <fill>
      <patternFill patternType="solid">
        <fgColor rgb="00D9E2F3"/>
      </patternFill>
    </fill>
    <fill>
      <patternFill patternType="solid">
        <fgColor rgb="00FFFF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5" fillId="0" borderId="1" applyAlignment="1" pivotButton="0" quotePrefix="0" xfId="0">
      <alignment horizontal="center"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top" wrapText="1"/>
    </xf>
    <xf numFmtId="0" fontId="5" fillId="0" borderId="1" applyAlignment="1" pivotButton="0" quotePrefix="0" xfId="0">
      <alignment horizontal="left" vertical="top" wrapText="1"/>
    </xf>
    <xf numFmtId="164" fontId="5" fillId="0" borderId="1" applyAlignment="1" pivotButton="0" quotePrefix="0" xfId="0">
      <alignment horizontal="right" vertical="top" wrapText="1"/>
    </xf>
    <xf numFmtId="3" fontId="5" fillId="0" borderId="1" applyAlignment="1" pivotButton="0" quotePrefix="0" xfId="0">
      <alignment horizontal="right" vertical="top" wrapText="1"/>
    </xf>
    <xf numFmtId="166" fontId="5" fillId="0" borderId="1" applyAlignment="1" pivotButton="0" quotePrefix="0" xfId="0">
      <alignment horizontal="right" vertical="top" wrapText="1"/>
    </xf>
    <xf numFmtId="164" fontId="6" fillId="0" borderId="1" applyAlignment="1" pivotButton="0" quotePrefix="0" xfId="0">
      <alignment horizontal="right" vertical="top" wrapText="1"/>
    </xf>
    <xf numFmtId="3" fontId="9" fillId="0" borderId="1" applyAlignment="1" pivotButton="0" quotePrefix="0" xfId="0">
      <alignment horizontal="right" vertical="top" wrapText="1"/>
    </xf>
    <xf numFmtId="0" fontId="10" fillId="0" borderId="1" applyAlignment="1" pivotButton="0" quotePrefix="0" xfId="0">
      <alignment horizontal="center" vertical="top" wrapText="1"/>
    </xf>
    <xf numFmtId="0" fontId="11" fillId="0" borderId="1" applyAlignment="1" pivotButton="0" quotePrefix="0" xfId="0">
      <alignment horizontal="center"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164" fontId="6" fillId="3" borderId="1" applyAlignment="1" pivotButton="0" quotePrefix="0" xfId="0">
      <alignment horizontal="right" vertical="top" wrapText="1"/>
    </xf>
    <xf numFmtId="3" fontId="6" fillId="3" borderId="1" applyAlignment="1" pivotButton="0" quotePrefix="0" xfId="0">
      <alignment horizontal="right" vertical="top" wrapText="1"/>
    </xf>
    <xf numFmtId="166" fontId="6" fillId="3" borderId="1" applyAlignment="1" pivotButton="0" quotePrefix="0" xfId="0">
      <alignment horizontal="right" vertical="top" wrapText="1"/>
    </xf>
    <xf numFmtId="0" fontId="12" fillId="0" borderId="1" applyAlignment="1" pivotButton="0" quotePrefix="0" xfId="0">
      <alignment horizontal="left" vertical="top" wrapText="1"/>
    </xf>
    <xf numFmtId="165" fontId="5" fillId="0" borderId="1" applyAlignment="1" pivotButton="0" quotePrefix="0" xfId="0">
      <alignment horizontal="right" vertical="top" wrapText="1"/>
    </xf>
    <xf numFmtId="3" fontId="6" fillId="0" borderId="1" applyAlignment="1" pivotButton="0" quotePrefix="0" xfId="0">
      <alignment horizontal="right" vertical="top" wrapText="1"/>
    </xf>
    <xf numFmtId="165" fontId="9" fillId="0" borderId="1" applyAlignment="1" pivotButton="0" quotePrefix="0" xfId="0">
      <alignment horizontal="right" vertical="top" wrapText="1"/>
    </xf>
    <xf numFmtId="0" fontId="4" fillId="3" borderId="1" applyAlignment="1" pivotButton="0" quotePrefix="0" xfId="0">
      <alignment horizontal="left" vertical="top" wrapText="1"/>
    </xf>
    <xf numFmtId="0" fontId="6" fillId="0" borderId="1" applyAlignment="1" pivotButton="0" quotePrefix="0" xfId="0">
      <alignment horizontal="center" vertical="top" wrapText="1"/>
    </xf>
    <xf numFmtId="164" fontId="7" fillId="4" borderId="1" applyAlignment="1" pivotButton="0" quotePrefix="0" xfId="0">
      <alignment horizontal="left" vertical="top" wrapText="1"/>
    </xf>
    <xf numFmtId="165" fontId="5" fillId="5" borderId="1" applyAlignment="1" pivotButton="0" quotePrefix="0" xfId="0">
      <alignment horizontal="left" vertical="top" wrapText="1"/>
    </xf>
    <xf numFmtId="166" fontId="7" fillId="4" borderId="1" applyAlignment="1" pivotButton="0" quotePrefix="0" xfId="0">
      <alignment horizontal="left" vertical="top" wrapText="1"/>
    </xf>
    <xf numFmtId="0" fontId="1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www.in.gov.br/web/dou/-/portaria-normativa-mme-n-140-de-18-de-julho-de-2026-720529777" TargetMode="External" Id="rId1"/><Relationship Type="http://schemas.openxmlformats.org/officeDocument/2006/relationships/hyperlink" Target="https://www.gov.br/mme/pt-br/assuntos/noticias/mme-regulamenta-procedimentos-para-celebracao-de-termo-de-compromisso-sobre-compensacao-por-cortes-de-geracao" TargetMode="External" Id="rId2"/><Relationship Type="http://schemas.openxmlformats.org/officeDocument/2006/relationships/hyperlink" Target="https://celebra.mme.gov.br/" TargetMode="External" Id="rId3"/><Relationship Type="http://schemas.openxmlformats.org/officeDocument/2006/relationships/hyperlink" Target="https://www.planalto.gov.br/ccivil_03/_ato2004-2006/2004/lei/l10.848.htm" TargetMode="External" Id="rId4"/><Relationship Type="http://schemas.openxmlformats.org/officeDocument/2006/relationships/hyperlink" Target="https://www.planalto.gov.br/ccivil_03/_ato2023-2026/2025/lei/L15269.htm" TargetMode="External" Id="rId5"/><Relationship Type="http://schemas.openxmlformats.org/officeDocument/2006/relationships/hyperlink" Target="https://www.planalto.gov.br/ccivil_03/_ato2023-2026/2025/Msg/Vep/VEP-1755-25.htm" TargetMode="External" Id="rId6"/><Relationship Type="http://schemas.openxmlformats.org/officeDocument/2006/relationships/hyperlink" Target="https://canalsolar.com.br/wp-content/uploads/2026/01/voto.pdf" TargetMode="External" Id="rId7"/><Relationship Type="http://schemas.openxmlformats.org/officeDocument/2006/relationships/hyperlink" Target="https://dados.ons.org.br/dataset/restricao_coff_eolica_usi" TargetMode="External" Id="rId8"/><Relationship Type="http://schemas.openxmlformats.org/officeDocument/2006/relationships/hyperlink" Target="https://dados.ons.org.br/dataset/restricao_coff_eolica_detail" TargetMode="External" Id="rId9"/><Relationship Type="http://schemas.openxmlformats.org/officeDocument/2006/relationships/hyperlink" Target="https://dados.ons.org.br/dataset/restricao_coff_fotovoltaica" TargetMode="External" Id="rId10"/><Relationship Type="http://schemas.openxmlformats.org/officeDocument/2006/relationships/hyperlink" Target="https://dadosabertos.aneel.gov.br/dataset/siga-sistema-de-informacoes-de-geracao-da-aneel" TargetMode="External" Id="rId11"/><Relationship Type="http://schemas.openxmlformats.org/officeDocument/2006/relationships/hyperlink" Target="https://dadosabertos.ccee.org.br/dataset/encargo_recebido_perfil_agente_usina" TargetMode="External" Id="rId12"/><Relationship Type="http://schemas.openxmlformats.org/officeDocument/2006/relationships/hyperlink" Target="https://dadosabertos.ccee.org.br/dataset/pld_horario" TargetMode="External" Id="rId13"/><Relationship Type="http://schemas.openxmlformats.org/officeDocument/2006/relationships/hyperlink" Target="https://www.poder360.com.br/poder-governo/governo-regulamenta-acordo-de-r-33-bi-com-usinas-renovaveis/" TargetMode="External" Id="rId14"/><Relationship Type="http://schemas.openxmlformats.org/officeDocument/2006/relationships/hyperlink" Target="https://eixos.com.br/politica/volt-robotics-estima-ressarcimento-por-cortes-de-geracao-em-r-27-bilhoes-e-aponta-falta-de-clareza-na-classificacao/" TargetMode="External" Id="rId15"/><Relationship Type="http://schemas.openxmlformats.org/officeDocument/2006/relationships/hyperlink" Target="https://acendebrasil.com.br/wp-content/uploads/2025/09/20250930_AcendeBr_AP_CI_Senado_Curtailment_rev_3-1.pdf" TargetMode="External" Id="rId16"/><Relationship Type="http://schemas.openxmlformats.org/officeDocument/2006/relationships/hyperlink" Target="https://cenarioenergia.com.br/wp-content/uploads/2026/01/VoltRobotics_AnaliseCurtailment_Balanco-2025_Janeiro-2026.pdf" TargetMode="External" Id="rId17"/><Relationship Type="http://schemas.openxmlformats.org/officeDocument/2006/relationships/hyperlink" Target="https://neofeed.com.br/negocios/brasil-desperdica-20-de-sua-energia-renovavel-e-gera-prejuizos-bilionarios-a-empresas-do-setor-eletrico/" TargetMode="External" Id="rId18"/><Relationship Type="http://schemas.openxmlformats.org/officeDocument/2006/relationships/hyperlink" Target="https://megawhat.energy/geracao/aneel-ja-e-alvo-de-12-acoes-judiciais-por-curtailment/" TargetMode="External" Id="rId19"/><Relationship Type="http://schemas.openxmlformats.org/officeDocument/2006/relationships/hyperlink" Target="https://www.arandanet.com.br/revista/em/noticia/10214-Aneel-consegue-suspender-liminar-do-constrained-off-no-STJ.html" TargetMode="External" Id="rId20"/><Relationship Type="http://schemas.openxmlformats.org/officeDocument/2006/relationships/hyperlink" Target="https://canalsolar.com.br/congresso-analisa-vetos-regras-gd-eolicas-offshore/" TargetMode="External" Id="rId21"/><Relationship Type="http://schemas.openxmlformats.org/officeDocument/2006/relationships/hyperlink" Target="https://eixos.com.br/energias-renovaveis/portaria-traz-alivio-mas-nao-encerra-judicializacao-sobre-cortes-de-geracao-avaliam-geradores-e-especialistas/" TargetMode="External" Id="rId22"/><Relationship Type="http://schemas.openxmlformats.org/officeDocument/2006/relationships/hyperlink" Target="https://megawhat.uol.com.br/economia-e-politica/resultados/voltalia-contabiliza-r-175-mi-em-ressarcimento-do-curtailment-no-resultado-do-2o-tri/" TargetMode="External" Id="rId23"/><Relationship Type="http://schemas.openxmlformats.org/officeDocument/2006/relationships/hyperlink" Target="https://ri.cpfl.com.br/" TargetMode="External" Id="rId24"/><Relationship Type="http://schemas.openxmlformats.org/officeDocument/2006/relationships/hyperlink" Target="https://www.engie.com.br/wp-content/uploads/2026/02/260225-Release-de-Resultados-4T25.pdf" TargetMode="External" Id="rId25"/><Relationship Type="http://schemas.openxmlformats.org/officeDocument/2006/relationships/hyperlink" Target="https://ri.auren.com.br/" TargetMode="External" Id="rId26"/></Relationships>
</file>

<file path=xl/worksheets/sheet1.xml><?xml version="1.0" encoding="utf-8"?>
<worksheet xmlns="http://schemas.openxmlformats.org/spreadsheetml/2006/main">
  <sheetPr>
    <outlinePr summaryBelow="1" summaryRight="1"/>
    <pageSetUpPr/>
  </sheetPr>
  <dimension ref="A1:M4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6" customWidth="1" min="3" max="3"/>
    <col width="12" customWidth="1" min="4" max="4"/>
    <col width="8" customWidth="1" min="5" max="5"/>
    <col width="11" customWidth="1" min="6" max="6"/>
    <col width="8" customWidth="1" min="7" max="7"/>
    <col width="12" customWidth="1" min="8" max="8"/>
    <col width="12" customWidth="1" min="9" max="9"/>
    <col width="13" customWidth="1" min="10" max="10"/>
    <col width="10" customWidth="1" min="11" max="11"/>
    <col width="62" customWidth="1" min="12" max="12"/>
    <col width="54" customWidth="1" min="13" max="13"/>
  </cols>
  <sheetData>
    <row r="1">
      <c r="A1" s="1" t="inlineStr">
        <is>
          <t>Call list — Portaria 140/2026, ranked by eligible claim</t>
        </is>
      </c>
    </row>
    <row r="2">
      <c r="A2" s="2" t="inlineStr">
        <is>
          <t>Eligible GWh is COMPUTED from ONS half-hourly constrained-off data for 1 Sep 2023 – 25 Nov 2025, REL + CNF only. It is not a company disclosure. Ownership is a join through ANEEL SIGA — check the confidence column.</t>
        </is>
      </c>
    </row>
    <row r="4" ht="32" customHeight="1">
      <c r="A4" s="3" t="inlineStr">
        <is>
          <t>#</t>
        </is>
      </c>
      <c r="B4" s="3" t="inlineStr">
        <is>
          <t>Group / holder</t>
        </is>
      </c>
      <c r="C4" s="3" t="inlineStr">
        <is>
          <t>Conf.</t>
        </is>
      </c>
      <c r="D4" s="3" t="inlineStr">
        <is>
          <t>States</t>
        </is>
      </c>
      <c r="E4" s="3" t="inlineStr">
        <is>
          <t>Complexes</t>
        </is>
      </c>
      <c r="F4" s="3" t="inlineStr">
        <is>
          <t>Eligible GWh</t>
        </is>
      </c>
      <c r="G4" s="3" t="inlineStr">
        <is>
          <t>% of pool</t>
        </is>
      </c>
      <c r="H4" s="3" t="inlineStr">
        <is>
          <t>Est. gross claim (R$m)</t>
        </is>
      </c>
      <c r="I4" s="3" t="inlineStr">
        <is>
          <t>Indexed to payment (R$m)</t>
        </is>
      </c>
      <c r="J4" s="3" t="inlineStr">
        <is>
          <t>Sobreoferta GWh (waived, never paid)</t>
        </is>
      </c>
      <c r="K4" s="3" t="inlineStr">
        <is>
          <t>Operating MW</t>
        </is>
      </c>
      <c r="L4" s="3" t="inlineStr">
        <is>
          <t>Why they take the call</t>
        </is>
      </c>
      <c r="M4" s="3" t="inlineStr">
        <is>
          <t>What to ask on call one</t>
        </is>
      </c>
    </row>
    <row r="5">
      <c r="A5" s="4" t="n">
        <v>1</v>
      </c>
      <c r="B5" s="5" t="inlineStr">
        <is>
          <t>Casa dos Ventos</t>
        </is>
      </c>
      <c r="C5" s="6" t="inlineStr">
        <is>
          <t>M</t>
        </is>
      </c>
      <c r="D5" s="7" t="inlineStr">
        <is>
          <t>BA,PE,PI,RN</t>
        </is>
      </c>
      <c r="E5" s="8" t="n">
        <v>23</v>
      </c>
      <c r="F5" s="9" t="n">
        <v>4753.5</v>
      </c>
      <c r="G5" s="10">
        <f>F5/Assumptions!$B$7</f>
        <v/>
      </c>
      <c r="H5" s="11">
        <f>F5*1000*Assumptions!$B$8/1000000</f>
        <v/>
      </c>
      <c r="I5" s="8">
        <f>H5*(1+Assumptions!$B$9)</f>
        <v/>
      </c>
      <c r="J5" s="12" t="n">
        <v>3519.2</v>
      </c>
      <c r="K5" s="8" t="n">
        <v>8419</v>
      </c>
      <c r="L5" s="7" t="inlineStr">
        <is>
          <t>Largest single holder of eligible claim in the country — and privately held, so no analyst has done this work for them. Rio do Vento and Serra do Mel clusters. Ask what share of the cut volume sat outside CCEAR-D/CER.</t>
        </is>
      </c>
      <c r="M5"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6">
      <c r="A6" s="4" t="n">
        <v>2</v>
      </c>
      <c r="B6" s="5" t="inlineStr">
        <is>
          <t>Engie Brasil Energia</t>
        </is>
      </c>
      <c r="C6" s="13" t="inlineStr">
        <is>
          <t>H</t>
        </is>
      </c>
      <c r="D6" s="7" t="inlineStr">
        <is>
          <t>BA,CE,RN</t>
        </is>
      </c>
      <c r="E6" s="8" t="n">
        <v>10</v>
      </c>
      <c r="F6" s="9" t="n">
        <v>1775.5</v>
      </c>
      <c r="G6" s="10">
        <f>F6/Assumptions!$B$7</f>
        <v/>
      </c>
      <c r="H6" s="11">
        <f>F6*1000*Assumptions!$B$8/1000000</f>
        <v/>
      </c>
      <c r="I6" s="8">
        <f>H6*(1+Assumptions!$B$9)</f>
        <v/>
      </c>
      <c r="J6" s="12" t="n">
        <v>1433.9</v>
      </c>
      <c r="K6" s="8" t="n">
        <v>3054</v>
      </c>
      <c r="L6" s="7" t="inlineStr">
        <is>
          <t>Named its own worst assets in its 4T25 release (Santo Agostinho 36%, Trairi 31%). Discloses curtailment only in percentages — has never put an R$ figure on it publicly. Fitch estimates R$150m of 2025 EBITDA impact.</t>
        </is>
      </c>
      <c r="M6"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7">
      <c r="A7" s="4" t="n">
        <v>3</v>
      </c>
      <c r="B7" s="5" t="inlineStr">
        <is>
          <t>Enel Green Power Brasil</t>
        </is>
      </c>
      <c r="C7" s="13" t="inlineStr">
        <is>
          <t>H</t>
        </is>
      </c>
      <c r="D7" s="7" t="inlineStr">
        <is>
          <t>BA,PI,RN</t>
        </is>
      </c>
      <c r="E7" s="8" t="n">
        <v>13</v>
      </c>
      <c r="F7" s="9" t="n">
        <v>1616.2</v>
      </c>
      <c r="G7" s="10">
        <f>F7/Assumptions!$B$7</f>
        <v/>
      </c>
      <c r="H7" s="11">
        <f>F7*1000*Assumptions!$B$8/1000000</f>
        <v/>
      </c>
      <c r="I7" s="8">
        <f>H7*(1+Assumptions!$B$9)</f>
        <v/>
      </c>
      <c r="J7" s="12" t="n">
        <v>1793</v>
      </c>
      <c r="K7" s="8" t="n">
        <v>3590</v>
      </c>
      <c r="L7" s="7" t="inlineStr">
        <is>
          <t>Lagoa dos Ventos is the largest wind complex in South America. Foreign parent, decision may sit in Rome — find out who signs in Brazil before 10 August.</t>
        </is>
      </c>
      <c r="M7"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8">
      <c r="A8" s="4" t="n">
        <v>4</v>
      </c>
      <c r="B8" s="5" t="inlineStr">
        <is>
          <t>Central Eólica SPEs (RN/CE)</t>
        </is>
      </c>
      <c r="C8" s="6" t="inlineStr">
        <is>
          <t>M</t>
        </is>
      </c>
      <c r="D8" s="7" t="inlineStr">
        <is>
          <t>CE,RN</t>
        </is>
      </c>
      <c r="E8" s="8" t="n">
        <v>5</v>
      </c>
      <c r="F8" s="9" t="n">
        <v>1351.4</v>
      </c>
      <c r="G8" s="10">
        <f>F8/Assumptions!$B$7</f>
        <v/>
      </c>
      <c r="H8" s="11">
        <f>F8*1000*Assumptions!$B$8/1000000</f>
        <v/>
      </c>
      <c r="I8" s="8">
        <f>H8*(1+Assumptions!$B$9)</f>
        <v/>
      </c>
      <c r="J8" s="12" t="n">
        <v>679.3</v>
      </c>
      <c r="K8" s="8" t="n">
        <v>1166</v>
      </c>
      <c r="L8" s="7" t="inlineStr">
        <is>
          <t>Mapped from SIGA ownership. Confirm the group before calling — the SPE names are in the Complexes tab.</t>
        </is>
      </c>
      <c r="M8"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9">
      <c r="A9" s="4" t="n">
        <v>5</v>
      </c>
      <c r="B9" s="5" t="inlineStr">
        <is>
          <t>Echoenergia (Equatorial)</t>
        </is>
      </c>
      <c r="C9" s="13" t="inlineStr">
        <is>
          <t>H</t>
        </is>
      </c>
      <c r="D9" s="7" t="inlineStr">
        <is>
          <t>PI,RN</t>
        </is>
      </c>
      <c r="E9" s="8" t="n">
        <v>2</v>
      </c>
      <c r="F9" s="9" t="n">
        <v>1092.3</v>
      </c>
      <c r="G9" s="10">
        <f>F9/Assumptions!$B$7</f>
        <v/>
      </c>
      <c r="H9" s="11">
        <f>F9*1000*Assumptions!$B$8/1000000</f>
        <v/>
      </c>
      <c r="I9" s="8">
        <f>H9*(1+Assumptions!$B$9)</f>
        <v/>
      </c>
      <c r="J9" s="12" t="n">
        <v>338.2</v>
      </c>
      <c r="K9" s="8" t="n">
        <v>702</v>
      </c>
      <c r="L9" s="7" t="inlineStr">
        <is>
          <t>ALREADY LITIGATING — two of the twelve cases (1068423-72 and 1068397-74.2024.4.01.3400). CEO Liu Aquino has said publicly some plants hit ~45% restriction, 'patamar que torna a operação insustentável'. They must actively choose to abandon those suits.</t>
        </is>
      </c>
      <c r="M9"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10">
      <c r="A10" s="4" t="n">
        <v>6</v>
      </c>
      <c r="B10" s="5" t="inlineStr">
        <is>
          <t>Serena Energia</t>
        </is>
      </c>
      <c r="C10" s="6" t="inlineStr">
        <is>
          <t>M</t>
        </is>
      </c>
      <c r="D10" s="7" t="inlineStr">
        <is>
          <t>BA,RN</t>
        </is>
      </c>
      <c r="E10" s="8" t="n">
        <v>5</v>
      </c>
      <c r="F10" s="9" t="n">
        <v>1057</v>
      </c>
      <c r="G10" s="10">
        <f>F10/Assumptions!$B$7</f>
        <v/>
      </c>
      <c r="H10" s="11">
        <f>F10*1000*Assumptions!$B$8/1000000</f>
        <v/>
      </c>
      <c r="I10" s="8">
        <f>H10*(1+Assumptions!$B$9)</f>
        <v/>
      </c>
      <c r="J10" s="12" t="n">
        <v>725.9</v>
      </c>
      <c r="K10" s="8" t="n">
        <v>1365</v>
      </c>
      <c r="L10" s="7" t="inlineStr">
        <is>
          <t>Fitch puts 2025 EBITDA impact at R$200m, 11% of total — the highest proportional hit of any rated name. Listed, so the decision is disclosable and time-pressured.</t>
        </is>
      </c>
      <c r="M10"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11">
      <c r="A11" s="4" t="n">
        <v>7</v>
      </c>
      <c r="B11" s="5" t="inlineStr">
        <is>
          <t>Voltalia Brasil</t>
        </is>
      </c>
      <c r="C11" s="6" t="inlineStr">
        <is>
          <t>M</t>
        </is>
      </c>
      <c r="D11" s="7" t="inlineStr">
        <is>
          <t>BA,CE,PE,PI,RN</t>
        </is>
      </c>
      <c r="E11" s="8" t="n">
        <v>6</v>
      </c>
      <c r="F11" s="9" t="n">
        <v>920.5</v>
      </c>
      <c r="G11" s="10">
        <f>F11/Assumptions!$B$7</f>
        <v/>
      </c>
      <c r="H11" s="11">
        <f>F11*1000*Assumptions!$B$8/1000000</f>
        <v/>
      </c>
      <c r="I11" s="8">
        <f>H11*(1+Assumptions!$B$9)</f>
        <v/>
      </c>
      <c r="J11" s="12" t="n">
        <v>822.5</v>
      </c>
      <c r="K11" s="8" t="n">
        <v>1362</v>
      </c>
      <c r="L11" s="7" t="inlineStr">
        <is>
          <t>THE ONLY COMPANY THAT HAS BOOKED REAL MONEY — R$175m of curtailment ressarcimento recognised in Q2 2026 results. They understand the mechanism better than anyone. Call them to learn, not to sell.</t>
        </is>
      </c>
      <c r="M11"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12">
      <c r="A12" s="4" t="n">
        <v>8</v>
      </c>
      <c r="B12" s="5" t="inlineStr">
        <is>
          <t>Janaúba (Telefônica/Aegea AP)</t>
        </is>
      </c>
      <c r="C12" s="13" t="inlineStr">
        <is>
          <t>H</t>
        </is>
      </c>
      <c r="D12" s="7" t="inlineStr">
        <is>
          <t>MG</t>
        </is>
      </c>
      <c r="E12" s="8" t="n">
        <v>1</v>
      </c>
      <c r="F12" s="9" t="n">
        <v>628.2</v>
      </c>
      <c r="G12" s="10">
        <f>F12/Assumptions!$B$7</f>
        <v/>
      </c>
      <c r="H12" s="11">
        <f>F12*1000*Assumptions!$B$8/1000000</f>
        <v/>
      </c>
      <c r="I12" s="8">
        <f>H12*(1+Assumptions!$B$9)</f>
        <v/>
      </c>
      <c r="J12" s="12" t="n">
        <v>625.2</v>
      </c>
      <c r="K12" s="8" t="n">
        <v>1337</v>
      </c>
      <c r="L12" s="7" t="inlineStr">
        <is>
          <t>Self-production structure. Autoprodução is expressly eligible (Termo Cl. 1ª Subcl. 1ª) and its volume is NOT committed to CCEAR-D/CER — so under Cláusula Quinta V it is valued at PLD and PAID IN CASH. This is the profile most likely to produce a real receivable.</t>
        </is>
      </c>
      <c r="M12"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13">
      <c r="A13" s="4" t="n">
        <v>9</v>
      </c>
      <c r="B13" s="5" t="inlineStr">
        <is>
          <t>Cutia/União dos Ventos SPEs</t>
        </is>
      </c>
      <c r="C13" s="6" t="inlineStr">
        <is>
          <t>M</t>
        </is>
      </c>
      <c r="D13" s="7" t="inlineStr">
        <is>
          <t>RN</t>
        </is>
      </c>
      <c r="E13" s="8" t="n">
        <v>3</v>
      </c>
      <c r="F13" s="9" t="n">
        <v>530.9</v>
      </c>
      <c r="G13" s="10">
        <f>F13/Assumptions!$B$7</f>
        <v/>
      </c>
      <c r="H13" s="11">
        <f>F13*1000*Assumptions!$B$8/1000000</f>
        <v/>
      </c>
      <c r="I13" s="8">
        <f>H13*(1+Assumptions!$B$9)</f>
        <v/>
      </c>
      <c r="J13" s="12" t="n">
        <v>395.4</v>
      </c>
      <c r="K13" s="8" t="n">
        <v>536</v>
      </c>
      <c r="L13" s="7" t="inlineStr">
        <is>
          <t>Mapped from SIGA ownership. Confirm the group before calling — the SPE names are in the Complexes tab.</t>
        </is>
      </c>
      <c r="M13"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14">
      <c r="A14" s="4" t="n">
        <v>10</v>
      </c>
      <c r="B14" s="5" t="inlineStr">
        <is>
          <t>Solar MG SPEs</t>
        </is>
      </c>
      <c r="C14" s="6" t="inlineStr">
        <is>
          <t>M</t>
        </is>
      </c>
      <c r="D14" s="7" t="inlineStr">
        <is>
          <t>MG</t>
        </is>
      </c>
      <c r="E14" s="8" t="n">
        <v>3</v>
      </c>
      <c r="F14" s="9" t="n">
        <v>479.2</v>
      </c>
      <c r="G14" s="10">
        <f>F14/Assumptions!$B$7</f>
        <v/>
      </c>
      <c r="H14" s="11">
        <f>F14*1000*Assumptions!$B$8/1000000</f>
        <v/>
      </c>
      <c r="I14" s="8">
        <f>H14*(1+Assumptions!$B$9)</f>
        <v/>
      </c>
      <c r="J14" s="12" t="n">
        <v>715.1</v>
      </c>
      <c r="K14" s="8" t="n">
        <v>1396</v>
      </c>
      <c r="L14" s="7" t="inlineStr">
        <is>
          <t>Mapped from SIGA ownership. Confirm the group before calling — the SPE names are in the Complexes tab.</t>
        </is>
      </c>
      <c r="M14"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15">
      <c r="A15" s="4" t="n">
        <v>11</v>
      </c>
      <c r="B15" s="5" t="inlineStr">
        <is>
          <t>Elera Renováveis (Brookfield)</t>
        </is>
      </c>
      <c r="C15" s="13" t="inlineStr">
        <is>
          <t>H</t>
        </is>
      </c>
      <c r="D15" s="7" t="inlineStr">
        <is>
          <t>BA,CE</t>
        </is>
      </c>
      <c r="E15" s="8" t="n">
        <v>2</v>
      </c>
      <c r="F15" s="9" t="n">
        <v>419</v>
      </c>
      <c r="G15" s="10">
        <f>F15/Assumptions!$B$7</f>
        <v/>
      </c>
      <c r="H15" s="11">
        <f>F15*1000*Assumptions!$B$8/1000000</f>
        <v/>
      </c>
      <c r="I15" s="8">
        <f>H15*(1+Assumptions!$B$9)</f>
        <v/>
      </c>
      <c r="J15" s="12" t="n">
        <v>392.3</v>
      </c>
      <c r="K15" s="8" t="n">
        <v>693</v>
      </c>
      <c r="L15" s="7" t="inlineStr">
        <is>
          <t>ALREADY LITIGATING — two cases over the Alex complex (0800580-25.2024.4.05.8101 and 1087805-51.2024.4.01.3400). Complexo Alex hit 67.7% curtailment in July 2024. Brookfield capital behind it, so the waiver decision will be taken seriously and centrally.</t>
        </is>
      </c>
      <c r="M15"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16">
      <c r="A16" s="4" t="n">
        <v>12</v>
      </c>
      <c r="B16" s="5" t="inlineStr">
        <is>
          <t>Serra do Mel solar SPEs</t>
        </is>
      </c>
      <c r="C16" s="6" t="inlineStr">
        <is>
          <t>M</t>
        </is>
      </c>
      <c r="D16" s="7" t="inlineStr">
        <is>
          <t>RN</t>
        </is>
      </c>
      <c r="E16" s="8" t="n">
        <v>1</v>
      </c>
      <c r="F16" s="9" t="n">
        <v>253.4</v>
      </c>
      <c r="G16" s="10">
        <f>F16/Assumptions!$B$7</f>
        <v/>
      </c>
      <c r="H16" s="11">
        <f>F16*1000*Assumptions!$B$8/1000000</f>
        <v/>
      </c>
      <c r="I16" s="8">
        <f>H16*(1+Assumptions!$B$9)</f>
        <v/>
      </c>
      <c r="J16" s="12" t="n">
        <v>245.4</v>
      </c>
      <c r="K16" s="8" t="n">
        <v>433</v>
      </c>
      <c r="L16" s="7" t="inlineStr">
        <is>
          <t>Mapped from SIGA ownership. Confirm the group before calling — the SPE names are in the Complexes tab.</t>
        </is>
      </c>
      <c r="M16"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17">
      <c r="A17" s="4" t="n">
        <v>13</v>
      </c>
      <c r="B17" s="5" t="inlineStr">
        <is>
          <t>CPFL Energias Renováveis (State Grid)</t>
        </is>
      </c>
      <c r="C17" s="13" t="inlineStr">
        <is>
          <t>H</t>
        </is>
      </c>
      <c r="D17" s="7" t="inlineStr">
        <is>
          <t>CE</t>
        </is>
      </c>
      <c r="E17" s="8" t="n">
        <v>1</v>
      </c>
      <c r="F17" s="9" t="n">
        <v>252.7</v>
      </c>
      <c r="G17" s="10">
        <f>F17/Assumptions!$B$7</f>
        <v/>
      </c>
      <c r="H17" s="11">
        <f>F17*1000*Assumptions!$B$8/1000000</f>
        <v/>
      </c>
      <c r="I17" s="8">
        <f>H17*(1+Assumptions!$B$9)</f>
        <v/>
      </c>
      <c r="J17" s="12" t="n">
        <v>81.59999999999999</v>
      </c>
      <c r="K17" s="8" t="n">
        <v>138</v>
      </c>
      <c r="L17" s="7" t="inlineStr">
        <is>
          <t>The most transparent discloser in the sector — published R$558m of FY2025 lost revenue and 30.8% curtailment. They have already done the arithmetic; the value you add is on the waiver, not the volume.</t>
        </is>
      </c>
      <c r="M17"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18">
      <c r="A18" s="4" t="n">
        <v>14</v>
      </c>
      <c r="B18" s="5" t="inlineStr">
        <is>
          <t>Solar BA SPEs</t>
        </is>
      </c>
      <c r="C18" s="6" t="inlineStr">
        <is>
          <t>M</t>
        </is>
      </c>
      <c r="D18" s="7" t="inlineStr">
        <is>
          <t>BA</t>
        </is>
      </c>
      <c r="E18" s="8" t="n">
        <v>2</v>
      </c>
      <c r="F18" s="9" t="n">
        <v>223.4</v>
      </c>
      <c r="G18" s="10">
        <f>F18/Assumptions!$B$7</f>
        <v/>
      </c>
      <c r="H18" s="11">
        <f>F18*1000*Assumptions!$B$8/1000000</f>
        <v/>
      </c>
      <c r="I18" s="8">
        <f>H18*(1+Assumptions!$B$9)</f>
        <v/>
      </c>
      <c r="J18" s="12" t="n">
        <v>366.6</v>
      </c>
      <c r="K18" s="8" t="n">
        <v>787</v>
      </c>
      <c r="L18" s="7" t="inlineStr">
        <is>
          <t>Mapped from SIGA ownership. Confirm the group before calling — the SPE names are in the Complexes tab.</t>
        </is>
      </c>
      <c r="M18"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19">
      <c r="A19" s="4" t="n">
        <v>15</v>
      </c>
      <c r="B19" s="5" t="inlineStr">
        <is>
          <t>Jaíba V (Sendas/Assaí AP)</t>
        </is>
      </c>
      <c r="C19" s="13" t="inlineStr">
        <is>
          <t>H</t>
        </is>
      </c>
      <c r="D19" s="7" t="inlineStr">
        <is>
          <t>MG</t>
        </is>
      </c>
      <c r="E19" s="8" t="n">
        <v>1</v>
      </c>
      <c r="F19" s="9" t="n">
        <v>209.8</v>
      </c>
      <c r="G19" s="10">
        <f>F19/Assumptions!$B$7</f>
        <v/>
      </c>
      <c r="H19" s="11">
        <f>F19*1000*Assumptions!$B$8/1000000</f>
        <v/>
      </c>
      <c r="I19" s="8">
        <f>H19*(1+Assumptions!$B$9)</f>
        <v/>
      </c>
      <c r="J19" s="12" t="n">
        <v>240.5</v>
      </c>
      <c r="K19" s="8" t="n">
        <v>500</v>
      </c>
      <c r="L19" s="7" t="inlineStr">
        <is>
          <t>Self-production. Same logic as Janaúba — uncommitted volume means cash rather than a book entry. The counterparty is a retailer, not a power company, so nobody in-house owns this problem.</t>
        </is>
      </c>
      <c r="M19"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20">
      <c r="A20" s="4" t="n">
        <v>16</v>
      </c>
      <c r="B20" s="5" t="inlineStr">
        <is>
          <t>Serra da Babilônia / BA SPEs</t>
        </is>
      </c>
      <c r="C20" s="6" t="inlineStr">
        <is>
          <t>M</t>
        </is>
      </c>
      <c r="D20" s="7" t="inlineStr">
        <is>
          <t>BA</t>
        </is>
      </c>
      <c r="E20" s="8" t="n">
        <v>1</v>
      </c>
      <c r="F20" s="9" t="n">
        <v>207.5</v>
      </c>
      <c r="G20" s="10">
        <f>F20/Assumptions!$B$7</f>
        <v/>
      </c>
      <c r="H20" s="11">
        <f>F20*1000*Assumptions!$B$8/1000000</f>
        <v/>
      </c>
      <c r="I20" s="8">
        <f>H20*(1+Assumptions!$B$9)</f>
        <v/>
      </c>
      <c r="J20" s="12" t="n">
        <v>177.3</v>
      </c>
      <c r="K20" s="8" t="n">
        <v>505</v>
      </c>
      <c r="L20" s="7" t="inlineStr">
        <is>
          <t>Mapped from SIGA ownership. Confirm the group before calling — the SPE names are in the Complexes tab.</t>
        </is>
      </c>
      <c r="M20"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21">
      <c r="A21" s="4" t="n">
        <v>17</v>
      </c>
      <c r="B21" s="5" t="inlineStr">
        <is>
          <t>Belmonte (Mateus Supermercados AP)</t>
        </is>
      </c>
      <c r="C21" s="13" t="inlineStr">
        <is>
          <t>H</t>
        </is>
      </c>
      <c r="D21" s="7" t="inlineStr">
        <is>
          <t>PE</t>
        </is>
      </c>
      <c r="E21" s="8" t="n">
        <v>1</v>
      </c>
      <c r="F21" s="9" t="n">
        <v>204.2</v>
      </c>
      <c r="G21" s="10">
        <f>F21/Assumptions!$B$7</f>
        <v/>
      </c>
      <c r="H21" s="11">
        <f>F21*1000*Assumptions!$B$8/1000000</f>
        <v/>
      </c>
      <c r="I21" s="8">
        <f>H21*(1+Assumptions!$B$9)</f>
        <v/>
      </c>
      <c r="J21" s="12" t="n">
        <v>243.7</v>
      </c>
      <c r="K21" s="8" t="n">
        <v>455</v>
      </c>
      <c r="L21" s="7" t="inlineStr">
        <is>
          <t>Self-production for a supermarket group. Almost certainly nobody internally is tracking a 10 August federal energy deadline.</t>
        </is>
      </c>
      <c r="M21"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22">
      <c r="A22" s="4" t="n">
        <v>18</v>
      </c>
      <c r="B22" s="5" t="inlineStr">
        <is>
          <t>CENTRAIS EOLICAS VENTOS DO NORDESTE S/A (SPE only)</t>
        </is>
      </c>
      <c r="C22" s="14" t="inlineStr">
        <is>
          <t>L</t>
        </is>
      </c>
      <c r="D22" s="7" t="inlineStr">
        <is>
          <t>BA</t>
        </is>
      </c>
      <c r="E22" s="8" t="n">
        <v>1</v>
      </c>
      <c r="F22" s="9" t="n">
        <v>195.8</v>
      </c>
      <c r="G22" s="10">
        <f>F22/Assumptions!$B$7</f>
        <v/>
      </c>
      <c r="H22" s="11">
        <f>F22*1000*Assumptions!$B$8/1000000</f>
        <v/>
      </c>
      <c r="I22" s="8">
        <f>H22*(1+Assumptions!$B$9)</f>
        <v/>
      </c>
      <c r="J22" s="12" t="n">
        <v>107.9</v>
      </c>
      <c r="K22" s="8" t="n">
        <v>168</v>
      </c>
      <c r="L22" s="7" t="inlineStr">
        <is>
          <t>Mapped from SIGA ownership. Confirm the group before calling — the SPE names are in the Complexes tab.</t>
        </is>
      </c>
      <c r="M22"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23">
      <c r="A23" s="4" t="n">
        <v>19</v>
      </c>
      <c r="B23" s="5" t="inlineStr">
        <is>
          <t>ENERGIA DOS VENTOS II S.A (SPE only)</t>
        </is>
      </c>
      <c r="C23" s="14" t="inlineStr">
        <is>
          <t>L</t>
        </is>
      </c>
      <c r="D23" s="7" t="inlineStr">
        <is>
          <t>CE</t>
        </is>
      </c>
      <c r="E23" s="8" t="n">
        <v>1</v>
      </c>
      <c r="F23" s="9" t="n">
        <v>169.8</v>
      </c>
      <c r="G23" s="10">
        <f>F23/Assumptions!$B$7</f>
        <v/>
      </c>
      <c r="H23" s="11">
        <f>F23*1000*Assumptions!$B$8/1000000</f>
        <v/>
      </c>
      <c r="I23" s="8">
        <f>H23*(1+Assumptions!$B$9)</f>
        <v/>
      </c>
      <c r="J23" s="12" t="n">
        <v>105.1</v>
      </c>
      <c r="K23" s="8" t="n">
        <v>99</v>
      </c>
      <c r="L23" s="7" t="inlineStr">
        <is>
          <t>Mapped from SIGA ownership. Confirm the group before calling — the SPE names are in the Complexes tab.</t>
        </is>
      </c>
      <c r="M23"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24">
      <c r="A24" s="4" t="n">
        <v>20</v>
      </c>
      <c r="B24" s="5" t="inlineStr">
        <is>
          <t>GERACAO CENTRAL EOLICA VENTOS DE  SAO MI (SPE only)</t>
        </is>
      </c>
      <c r="C24" s="14" t="inlineStr">
        <is>
          <t>L</t>
        </is>
      </c>
      <c r="D24" s="7" t="inlineStr">
        <is>
          <t>RN</t>
        </is>
      </c>
      <c r="E24" s="8" t="n">
        <v>1</v>
      </c>
      <c r="F24" s="9" t="n">
        <v>142.4</v>
      </c>
      <c r="G24" s="10">
        <f>F24/Assumptions!$B$7</f>
        <v/>
      </c>
      <c r="H24" s="11">
        <f>F24*1000*Assumptions!$B$8/1000000</f>
        <v/>
      </c>
      <c r="I24" s="8">
        <f>H24*(1+Assumptions!$B$9)</f>
        <v/>
      </c>
      <c r="J24" s="12" t="n">
        <v>100.5</v>
      </c>
      <c r="K24" s="8" t="n">
        <v>150</v>
      </c>
      <c r="L24" s="7" t="inlineStr">
        <is>
          <t>Mapped from SIGA ownership. Confirm the group before calling — the SPE names are in the Complexes tab.</t>
        </is>
      </c>
      <c r="M24"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25">
      <c r="A25" s="4" t="n">
        <v>21</v>
      </c>
      <c r="B25" s="5" t="inlineStr">
        <is>
          <t>NOVA VENTOS DO MORRO DO CHAPEU ENERGIAS  (SPE only)</t>
        </is>
      </c>
      <c r="C25" s="14" t="inlineStr">
        <is>
          <t>L</t>
        </is>
      </c>
      <c r="D25" s="7" t="inlineStr">
        <is>
          <t>CE</t>
        </is>
      </c>
      <c r="E25" s="8" t="n">
        <v>1</v>
      </c>
      <c r="F25" s="9" t="n">
        <v>113.5</v>
      </c>
      <c r="G25" s="10">
        <f>F25/Assumptions!$B$7</f>
        <v/>
      </c>
      <c r="H25" s="11">
        <f>F25*1000*Assumptions!$B$8/1000000</f>
        <v/>
      </c>
      <c r="I25" s="8">
        <f>H25*(1+Assumptions!$B$9)</f>
        <v/>
      </c>
      <c r="J25" s="12" t="n">
        <v>62.8</v>
      </c>
      <c r="K25" s="8" t="n">
        <v>141</v>
      </c>
      <c r="L25" s="7" t="inlineStr">
        <is>
          <t>Mapped from SIGA ownership. Confirm the group before calling — the SPE names are in the Complexes tab.</t>
        </is>
      </c>
      <c r="M25"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26">
      <c r="A26" s="4" t="n">
        <v>22</v>
      </c>
      <c r="B26" s="5" t="inlineStr">
        <is>
          <t>GE FAROL S/A (SPE only)</t>
        </is>
      </c>
      <c r="C26" s="14" t="inlineStr">
        <is>
          <t>L</t>
        </is>
      </c>
      <c r="D26" s="7" t="inlineStr">
        <is>
          <t>RN</t>
        </is>
      </c>
      <c r="E26" s="8" t="n">
        <v>1</v>
      </c>
      <c r="F26" s="9" t="n">
        <v>113.1</v>
      </c>
      <c r="G26" s="10">
        <f>F26/Assumptions!$B$7</f>
        <v/>
      </c>
      <c r="H26" s="11">
        <f>F26*1000*Assumptions!$B$8/1000000</f>
        <v/>
      </c>
      <c r="I26" s="8">
        <f>H26*(1+Assumptions!$B$9)</f>
        <v/>
      </c>
      <c r="J26" s="12" t="n">
        <v>99.3</v>
      </c>
      <c r="K26" s="8" t="n">
        <v>94</v>
      </c>
      <c r="L26" s="7" t="inlineStr">
        <is>
          <t>Mapped from SIGA ownership. Confirm the group before calling — the SPE names are in the Complexes tab.</t>
        </is>
      </c>
      <c r="M26"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27">
      <c r="A27" s="4" t="n">
        <v>23</v>
      </c>
      <c r="B27" s="5" t="inlineStr">
        <is>
          <t>SERROTE I GERACAO DE ENERGIA ELETRICA S. (SPE only)</t>
        </is>
      </c>
      <c r="C27" s="14" t="inlineStr">
        <is>
          <t>L</t>
        </is>
      </c>
      <c r="D27" s="7" t="inlineStr">
        <is>
          <t>CE</t>
        </is>
      </c>
      <c r="E27" s="8" t="n">
        <v>1</v>
      </c>
      <c r="F27" s="9" t="n">
        <v>113</v>
      </c>
      <c r="G27" s="10">
        <f>F27/Assumptions!$B$7</f>
        <v/>
      </c>
      <c r="H27" s="11">
        <f>F27*1000*Assumptions!$B$8/1000000</f>
        <v/>
      </c>
      <c r="I27" s="8">
        <f>H27*(1+Assumptions!$B$9)</f>
        <v/>
      </c>
      <c r="J27" s="12" t="n">
        <v>165.3</v>
      </c>
      <c r="K27" s="8" t="n">
        <v>206</v>
      </c>
      <c r="L27" s="7" t="inlineStr">
        <is>
          <t>Mapped from SIGA ownership. Confirm the group before calling — the SPE names are in the Complexes tab.</t>
        </is>
      </c>
      <c r="M27"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28">
      <c r="A28" s="4" t="n">
        <v>24</v>
      </c>
      <c r="B28" s="5" t="inlineStr">
        <is>
          <t>GESTAMP EÓLICA JARDINS S.A. (SPE only)</t>
        </is>
      </c>
      <c r="C28" s="14" t="inlineStr">
        <is>
          <t>L</t>
        </is>
      </c>
      <c r="D28" s="7" t="inlineStr">
        <is>
          <t>RN</t>
        </is>
      </c>
      <c r="E28" s="8" t="n">
        <v>1</v>
      </c>
      <c r="F28" s="9" t="n">
        <v>110.9</v>
      </c>
      <c r="G28" s="10">
        <f>F28/Assumptions!$B$7</f>
        <v/>
      </c>
      <c r="H28" s="11">
        <f>F28*1000*Assumptions!$B$8/1000000</f>
        <v/>
      </c>
      <c r="I28" s="8">
        <f>H28*(1+Assumptions!$B$9)</f>
        <v/>
      </c>
      <c r="J28" s="12" t="n">
        <v>73.40000000000001</v>
      </c>
      <c r="K28" s="8" t="n">
        <v>146</v>
      </c>
      <c r="L28" s="7" t="inlineStr">
        <is>
          <t>Mapped from SIGA ownership. Confirm the group before calling — the SPE names are in the Complexes tab.</t>
        </is>
      </c>
      <c r="M28"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29">
      <c r="A29" s="4" t="n">
        <v>25</v>
      </c>
      <c r="B29" s="5" t="inlineStr">
        <is>
          <t>PARQUE EOLICO VENTOS DA BAHIA I S.A. (SPE only)</t>
        </is>
      </c>
      <c r="C29" s="14" t="inlineStr">
        <is>
          <t>L</t>
        </is>
      </c>
      <c r="D29" s="7" t="inlineStr">
        <is>
          <t>BA</t>
        </is>
      </c>
      <c r="E29" s="8" t="n">
        <v>1</v>
      </c>
      <c r="F29" s="9" t="n">
        <v>110.2</v>
      </c>
      <c r="G29" s="10">
        <f>F29/Assumptions!$B$7</f>
        <v/>
      </c>
      <c r="H29" s="11">
        <f>F29*1000*Assumptions!$B$8/1000000</f>
        <v/>
      </c>
      <c r="I29" s="8">
        <f>H29*(1+Assumptions!$B$9)</f>
        <v/>
      </c>
      <c r="J29" s="12" t="n">
        <v>110.1</v>
      </c>
      <c r="K29" s="8" t="n">
        <v>298</v>
      </c>
      <c r="L29" s="7" t="inlineStr">
        <is>
          <t>Mapped from SIGA ownership. Confirm the group before calling — the SPE names are in the Complexes tab.</t>
        </is>
      </c>
      <c r="M29"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30">
      <c r="A30" s="4" t="n">
        <v>26</v>
      </c>
      <c r="B30" s="5" t="inlineStr">
        <is>
          <t>JANDAIRA I ENERGIAS RENOVAVEIS S.A. (SPE only)</t>
        </is>
      </c>
      <c r="C30" s="14" t="inlineStr">
        <is>
          <t>L</t>
        </is>
      </c>
      <c r="D30" s="7" t="inlineStr">
        <is>
          <t>RN</t>
        </is>
      </c>
      <c r="E30" s="8" t="n">
        <v>1</v>
      </c>
      <c r="F30" s="9" t="n">
        <v>110.1</v>
      </c>
      <c r="G30" s="10">
        <f>F30/Assumptions!$B$7</f>
        <v/>
      </c>
      <c r="H30" s="11">
        <f>F30*1000*Assumptions!$B$8/1000000</f>
        <v/>
      </c>
      <c r="I30" s="8">
        <f>H30*(1+Assumptions!$B$9)</f>
        <v/>
      </c>
      <c r="J30" s="12" t="n">
        <v>60</v>
      </c>
      <c r="K30" s="8" t="n">
        <v>90</v>
      </c>
      <c r="L30" s="7" t="inlineStr">
        <is>
          <t>Mapped from SIGA ownership. Confirm the group before calling — the SPE names are in the Complexes tab.</t>
        </is>
      </c>
      <c r="M30"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31">
      <c r="A31" s="4" t="n">
        <v>27</v>
      </c>
      <c r="B31" s="5" t="inlineStr">
        <is>
          <t>CAMPOS DOS VENTOS II ENERGIAS RENOVAVEIS (SPE only)</t>
        </is>
      </c>
      <c r="C31" s="14" t="inlineStr">
        <is>
          <t>L</t>
        </is>
      </c>
      <c r="D31" s="7" t="inlineStr">
        <is>
          <t>RN</t>
        </is>
      </c>
      <c r="E31" s="8" t="n">
        <v>1</v>
      </c>
      <c r="F31" s="9" t="n">
        <v>109.7</v>
      </c>
      <c r="G31" s="10">
        <f>F31/Assumptions!$B$7</f>
        <v/>
      </c>
      <c r="H31" s="11">
        <f>F31*1000*Assumptions!$B$8/1000000</f>
        <v/>
      </c>
      <c r="I31" s="8">
        <f>H31*(1+Assumptions!$B$9)</f>
        <v/>
      </c>
      <c r="J31" s="12" t="n">
        <v>81.2</v>
      </c>
      <c r="K31" s="8" t="n">
        <v>106</v>
      </c>
      <c r="L31" s="7" t="inlineStr">
        <is>
          <t>Mapped from SIGA ownership. Confirm the group before calling — the SPE names are in the Complexes tab.</t>
        </is>
      </c>
      <c r="M31"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32">
      <c r="A32" s="4" t="n">
        <v>28</v>
      </c>
      <c r="B32" s="5" t="inlineStr">
        <is>
          <t>CENTRAL GERADORA EOLICA ACARI S.A. (SPE only)</t>
        </is>
      </c>
      <c r="C32" s="14" t="inlineStr">
        <is>
          <t>L</t>
        </is>
      </c>
      <c r="D32" s="7" t="inlineStr">
        <is>
          <t>RN</t>
        </is>
      </c>
      <c r="E32" s="8" t="n">
        <v>1</v>
      </c>
      <c r="F32" s="9" t="n">
        <v>108.8</v>
      </c>
      <c r="G32" s="10">
        <f>F32/Assumptions!$B$7</f>
        <v/>
      </c>
      <c r="H32" s="11">
        <f>F32*1000*Assumptions!$B$8/1000000</f>
        <v/>
      </c>
      <c r="I32" s="8">
        <f>H32*(1+Assumptions!$B$9)</f>
        <v/>
      </c>
      <c r="J32" s="12" t="n">
        <v>119.8</v>
      </c>
      <c r="K32" s="8" t="n">
        <v>146</v>
      </c>
      <c r="L32" s="7" t="inlineStr">
        <is>
          <t>Mapped from SIGA ownership. Confirm the group before calling — the SPE names are in the Complexes tab.</t>
        </is>
      </c>
      <c r="M32"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33">
      <c r="A33" s="4" t="n">
        <v>29</v>
      </c>
      <c r="B33" s="5" t="inlineStr">
        <is>
          <t>ENERGIA DOS VENTOS IX S.A (SPE only)</t>
        </is>
      </c>
      <c r="C33" s="14" t="inlineStr">
        <is>
          <t>L</t>
        </is>
      </c>
      <c r="D33" s="7" t="inlineStr">
        <is>
          <t>CE</t>
        </is>
      </c>
      <c r="E33" s="8" t="n">
        <v>1</v>
      </c>
      <c r="F33" s="9" t="n">
        <v>106.3</v>
      </c>
      <c r="G33" s="10">
        <f>F33/Assumptions!$B$7</f>
        <v/>
      </c>
      <c r="H33" s="11">
        <f>F33*1000*Assumptions!$B$8/1000000</f>
        <v/>
      </c>
      <c r="I33" s="8">
        <f>H33*(1+Assumptions!$B$9)</f>
        <v/>
      </c>
      <c r="J33" s="12" t="n">
        <v>35.6</v>
      </c>
      <c r="K33" s="8" t="n">
        <v>123</v>
      </c>
      <c r="L33" s="7" t="inlineStr">
        <is>
          <t>Mapped from SIGA ownership. Confirm the group before calling — the SPE names are in the Complexes tab.</t>
        </is>
      </c>
      <c r="M33"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34">
      <c r="A34" s="4" t="n">
        <v>30</v>
      </c>
      <c r="B34" s="5" t="inlineStr">
        <is>
          <t>CENTRAL EOLICA TERRA SANTA SPE I S.A (SPE only)</t>
        </is>
      </c>
      <c r="C34" s="14" t="inlineStr">
        <is>
          <t>L</t>
        </is>
      </c>
      <c r="D34" s="7" t="inlineStr">
        <is>
          <t>RN</t>
        </is>
      </c>
      <c r="E34" s="8" t="n">
        <v>1</v>
      </c>
      <c r="F34" s="9" t="n">
        <v>102.2</v>
      </c>
      <c r="G34" s="10">
        <f>F34/Assumptions!$B$7</f>
        <v/>
      </c>
      <c r="H34" s="11">
        <f>F34*1000*Assumptions!$B$8/1000000</f>
        <v/>
      </c>
      <c r="I34" s="8">
        <f>H34*(1+Assumptions!$B$9)</f>
        <v/>
      </c>
      <c r="J34" s="12" t="n">
        <v>65</v>
      </c>
      <c r="K34" s="8" t="n">
        <v>92</v>
      </c>
      <c r="L34" s="7" t="inlineStr">
        <is>
          <t>Mapped from SIGA ownership. Confirm the group before calling — the SPE names are in the Complexes tab.</t>
        </is>
      </c>
      <c r="M34"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35">
      <c r="A35" s="4" t="n">
        <v>31</v>
      </c>
      <c r="B35" s="5" t="inlineStr">
        <is>
          <t>CAMPO FORMOSO I ENERGIAS RENOVAVEIS S.A. (SPE only)</t>
        </is>
      </c>
      <c r="C35" s="14" t="inlineStr">
        <is>
          <t>L</t>
        </is>
      </c>
      <c r="D35" s="7" t="inlineStr">
        <is>
          <t>BA</t>
        </is>
      </c>
      <c r="E35" s="8" t="n">
        <v>1</v>
      </c>
      <c r="F35" s="9" t="n">
        <v>101.3</v>
      </c>
      <c r="G35" s="10">
        <f>F35/Assumptions!$B$7</f>
        <v/>
      </c>
      <c r="H35" s="11">
        <f>F35*1000*Assumptions!$B$8/1000000</f>
        <v/>
      </c>
      <c r="I35" s="8">
        <f>H35*(1+Assumptions!$B$9)</f>
        <v/>
      </c>
      <c r="J35" s="12" t="n">
        <v>83.8</v>
      </c>
      <c r="K35" s="8" t="n">
        <v>180</v>
      </c>
      <c r="L35" s="7" t="inlineStr">
        <is>
          <t>Mapped from SIGA ownership. Confirm the group before calling — the SPE names are in the Complexes tab.</t>
        </is>
      </c>
      <c r="M35"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36">
      <c r="A36" s="4" t="n">
        <v>32</v>
      </c>
      <c r="B36" s="5" t="inlineStr">
        <is>
          <t>USINA DE ENERGIA FOTOVOLTAICA LAR DO SOL (SPE only)</t>
        </is>
      </c>
      <c r="C36" s="14" t="inlineStr">
        <is>
          <t>L</t>
        </is>
      </c>
      <c r="D36" s="7" t="inlineStr">
        <is>
          <t>MG</t>
        </is>
      </c>
      <c r="E36" s="8" t="n">
        <v>1</v>
      </c>
      <c r="F36" s="9" t="n">
        <v>99.90000000000001</v>
      </c>
      <c r="G36" s="10">
        <f>F36/Assumptions!$B$7</f>
        <v/>
      </c>
      <c r="H36" s="11">
        <f>F36*1000*Assumptions!$B$8/1000000</f>
        <v/>
      </c>
      <c r="I36" s="8">
        <f>H36*(1+Assumptions!$B$9)</f>
        <v/>
      </c>
      <c r="J36" s="12" t="n">
        <v>166.4</v>
      </c>
      <c r="K36" s="8" t="n">
        <v>495</v>
      </c>
      <c r="L36" s="7" t="inlineStr">
        <is>
          <t>Mapped from SIGA ownership. Confirm the group before calling — the SPE names are in the Complexes tab.</t>
        </is>
      </c>
      <c r="M36"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37">
      <c r="A37" s="4" t="n">
        <v>33</v>
      </c>
      <c r="B37" s="5" t="inlineStr">
        <is>
          <t>AXIA ENERGIA NORDESTE S.A. (SPE only)</t>
        </is>
      </c>
      <c r="C37" s="14" t="inlineStr">
        <is>
          <t>L</t>
        </is>
      </c>
      <c r="D37" s="7" t="inlineStr">
        <is>
          <t>BA</t>
        </is>
      </c>
      <c r="E37" s="8" t="n">
        <v>2</v>
      </c>
      <c r="F37" s="9" t="n">
        <v>98.40000000000001</v>
      </c>
      <c r="G37" s="10">
        <f>F37/Assumptions!$B$7</f>
        <v/>
      </c>
      <c r="H37" s="11">
        <f>F37*1000*Assumptions!$B$8/1000000</f>
        <v/>
      </c>
      <c r="I37" s="8">
        <f>H37*(1+Assumptions!$B$9)</f>
        <v/>
      </c>
      <c r="J37" s="12" t="n">
        <v>74.7</v>
      </c>
      <c r="K37" s="8" t="n">
        <v>278</v>
      </c>
      <c r="L37" s="7" t="inlineStr">
        <is>
          <t>Mapped from SIGA ownership. Confirm the group before calling — the SPE names are in the Complexes tab.</t>
        </is>
      </c>
      <c r="M37"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38">
      <c r="A38" s="4" t="n">
        <v>34</v>
      </c>
      <c r="B38" s="5" t="inlineStr">
        <is>
          <t>CENTRAL GERADORA EOLICA ICARAI II S.A. (SPE only)</t>
        </is>
      </c>
      <c r="C38" s="14" t="inlineStr">
        <is>
          <t>L</t>
        </is>
      </c>
      <c r="D38" s="7" t="inlineStr">
        <is>
          <t>CE</t>
        </is>
      </c>
      <c r="E38" s="8" t="n">
        <v>1</v>
      </c>
      <c r="F38" s="9" t="n">
        <v>96.8</v>
      </c>
      <c r="G38" s="10">
        <f>F38/Assumptions!$B$7</f>
        <v/>
      </c>
      <c r="H38" s="11">
        <f>F38*1000*Assumptions!$B$8/1000000</f>
        <v/>
      </c>
      <c r="I38" s="8">
        <f>H38*(1+Assumptions!$B$9)</f>
        <v/>
      </c>
      <c r="J38" s="12" t="n">
        <v>144.2</v>
      </c>
      <c r="K38" s="8" t="n">
        <v>141</v>
      </c>
      <c r="L38" s="7" t="inlineStr">
        <is>
          <t>Mapped from SIGA ownership. Confirm the group before calling — the SPE names are in the Complexes tab.</t>
        </is>
      </c>
      <c r="M38"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39">
      <c r="A39" s="4" t="n">
        <v>35</v>
      </c>
      <c r="B39" s="5" t="inlineStr">
        <is>
          <t>USINA DE ENERGIA EOLICA SAO JOAO SPE S.A (SPE only)</t>
        </is>
      </c>
      <c r="C39" s="14" t="inlineStr">
        <is>
          <t>L</t>
        </is>
      </c>
      <c r="D39" s="7" t="inlineStr">
        <is>
          <t>RN</t>
        </is>
      </c>
      <c r="E39" s="8" t="n">
        <v>1</v>
      </c>
      <c r="F39" s="9" t="n">
        <v>96.59999999999999</v>
      </c>
      <c r="G39" s="10">
        <f>F39/Assumptions!$B$7</f>
        <v/>
      </c>
      <c r="H39" s="11">
        <f>F39*1000*Assumptions!$B$8/1000000</f>
        <v/>
      </c>
      <c r="I39" s="8">
        <f>H39*(1+Assumptions!$B$9)</f>
        <v/>
      </c>
      <c r="J39" s="12" t="n">
        <v>104.1</v>
      </c>
      <c r="K39" s="8" t="n">
        <v>108</v>
      </c>
      <c r="L39" s="7" t="inlineStr">
        <is>
          <t>Mapped from SIGA ownership. Confirm the group before calling — the SPE names are in the Complexes tab.</t>
        </is>
      </c>
      <c r="M39"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40">
      <c r="A40" s="4" t="n">
        <v>36</v>
      </c>
      <c r="B40" s="5" t="inlineStr">
        <is>
          <t>EOLICA ITAREMA V S.A. (SPE only)</t>
        </is>
      </c>
      <c r="C40" s="14" t="inlineStr">
        <is>
          <t>L</t>
        </is>
      </c>
      <c r="D40" s="7" t="inlineStr">
        <is>
          <t>CE</t>
        </is>
      </c>
      <c r="E40" s="8" t="n">
        <v>1</v>
      </c>
      <c r="F40" s="9" t="n">
        <v>95.2</v>
      </c>
      <c r="G40" s="10">
        <f>F40/Assumptions!$B$7</f>
        <v/>
      </c>
      <c r="H40" s="11">
        <f>F40*1000*Assumptions!$B$8/1000000</f>
        <v/>
      </c>
      <c r="I40" s="8">
        <f>H40*(1+Assumptions!$B$9)</f>
        <v/>
      </c>
      <c r="J40" s="12" t="n">
        <v>153</v>
      </c>
      <c r="K40" s="8" t="n">
        <v>207</v>
      </c>
      <c r="L40" s="7" t="inlineStr">
        <is>
          <t>Mapped from SIGA ownership. Confirm the group before calling — the SPE names are in the Complexes tab.</t>
        </is>
      </c>
      <c r="M40"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41">
      <c r="A41" s="4" t="n">
        <v>37</v>
      </c>
      <c r="B41" s="5" t="inlineStr">
        <is>
          <t>EMBUACA GERACAO E COMERCIALIZACAO DE ENE (SPE only)</t>
        </is>
      </c>
      <c r="C41" s="14" t="inlineStr">
        <is>
          <t>L</t>
        </is>
      </c>
      <c r="D41" s="7" t="inlineStr">
        <is>
          <t>CE</t>
        </is>
      </c>
      <c r="E41" s="8" t="n">
        <v>1</v>
      </c>
      <c r="F41" s="9" t="n">
        <v>92.7</v>
      </c>
      <c r="G41" s="10">
        <f>F41/Assumptions!$B$7</f>
        <v/>
      </c>
      <c r="H41" s="11">
        <f>F41*1000*Assumptions!$B$8/1000000</f>
        <v/>
      </c>
      <c r="I41" s="8">
        <f>H41*(1+Assumptions!$B$9)</f>
        <v/>
      </c>
      <c r="J41" s="12" t="n">
        <v>160.2</v>
      </c>
      <c r="K41" s="8" t="n">
        <v>228</v>
      </c>
      <c r="L41" s="7" t="inlineStr">
        <is>
          <t>Mapped from SIGA ownership. Confirm the group before calling — the SPE names are in the Complexes tab.</t>
        </is>
      </c>
      <c r="M41"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42">
      <c r="A42" s="4" t="n">
        <v>38</v>
      </c>
      <c r="B42" s="5" t="inlineStr">
        <is>
          <t>MORRO BRANCO II ENERGÉTICA S.A. (SPE only)</t>
        </is>
      </c>
      <c r="C42" s="14" t="inlineStr">
        <is>
          <t>L</t>
        </is>
      </c>
      <c r="D42" s="7" t="inlineStr">
        <is>
          <t>BA</t>
        </is>
      </c>
      <c r="E42" s="8" t="n">
        <v>1</v>
      </c>
      <c r="F42" s="9" t="n">
        <v>92.59999999999999</v>
      </c>
      <c r="G42" s="10">
        <f>F42/Assumptions!$B$7</f>
        <v/>
      </c>
      <c r="H42" s="11">
        <f>F42*1000*Assumptions!$B$8/1000000</f>
        <v/>
      </c>
      <c r="I42" s="8">
        <f>H42*(1+Assumptions!$B$9)</f>
        <v/>
      </c>
      <c r="J42" s="12" t="n">
        <v>98.5</v>
      </c>
      <c r="K42" s="8" t="n">
        <v>246</v>
      </c>
      <c r="L42" s="7" t="inlineStr">
        <is>
          <t>Mapped from SIGA ownership. Confirm the group before calling — the SPE names are in the Complexes tab.</t>
        </is>
      </c>
      <c r="M42"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43">
      <c r="A43" s="4" t="n">
        <v>39</v>
      </c>
      <c r="B43" s="5" t="inlineStr">
        <is>
          <t>EOLICA SERRA DO MATO I ENERGY S.A (SPE only)</t>
        </is>
      </c>
      <c r="C43" s="14" t="inlineStr">
        <is>
          <t>L</t>
        </is>
      </c>
      <c r="D43" s="7" t="inlineStr">
        <is>
          <t>CE</t>
        </is>
      </c>
      <c r="E43" s="8" t="n">
        <v>1</v>
      </c>
      <c r="F43" s="9" t="n">
        <v>89.59999999999999</v>
      </c>
      <c r="G43" s="10">
        <f>F43/Assumptions!$B$7</f>
        <v/>
      </c>
      <c r="H43" s="11">
        <f>F43*1000*Assumptions!$B$8/1000000</f>
        <v/>
      </c>
      <c r="I43" s="8">
        <f>H43*(1+Assumptions!$B$9)</f>
        <v/>
      </c>
      <c r="J43" s="12" t="n">
        <v>158.3</v>
      </c>
      <c r="K43" s="8" t="n">
        <v>223</v>
      </c>
      <c r="L43" s="7" t="inlineStr">
        <is>
          <t>Mapped from SIGA ownership. Confirm the group before calling — the SPE names are in the Complexes tab.</t>
        </is>
      </c>
      <c r="M43"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44">
      <c r="A44" s="4" t="n">
        <v>40</v>
      </c>
      <c r="B44" s="5" t="inlineStr">
        <is>
          <t>LAGOA DO BARRO IX ENERGIAS RENOVAVEIS S. (SPE only)</t>
        </is>
      </c>
      <c r="C44" s="14" t="inlineStr">
        <is>
          <t>L</t>
        </is>
      </c>
      <c r="D44" s="7" t="inlineStr">
        <is>
          <t>PI</t>
        </is>
      </c>
      <c r="E44" s="8" t="n">
        <v>1</v>
      </c>
      <c r="F44" s="9" t="n">
        <v>87.90000000000001</v>
      </c>
      <c r="G44" s="10">
        <f>F44/Assumptions!$B$7</f>
        <v/>
      </c>
      <c r="H44" s="11">
        <f>F44*1000*Assumptions!$B$8/1000000</f>
        <v/>
      </c>
      <c r="I44" s="8">
        <f>H44*(1+Assumptions!$B$9)</f>
        <v/>
      </c>
      <c r="J44" s="12" t="n">
        <v>113.5</v>
      </c>
      <c r="K44" s="8" t="n">
        <v>296</v>
      </c>
      <c r="L44" s="7" t="inlineStr">
        <is>
          <t>Mapped from SIGA ownership. Confirm the group before calling — the SPE names are in the Complexes tab.</t>
        </is>
      </c>
      <c r="M44" s="7" t="inlineStr">
        <is>
          <t>1) What share of your cut volume was committed to CCEAR-D or CER? 2) What do you owe CCEE in delivery-shortfall ressarcimentos? 3) What is your sobreoferta volume over the window, and what have you assumed it is worth? 4) Are you in any of the twelve suits, or in the ABEEólica/ABSOLAR collective action?</t>
        </is>
      </c>
    </row>
    <row r="45">
      <c r="A45" s="15" t="inlineStr"/>
      <c r="B45" s="16" t="inlineStr">
        <is>
          <t>TOTAL — named groups above</t>
        </is>
      </c>
      <c r="C45" s="15" t="inlineStr"/>
      <c r="D45" s="15" t="inlineStr"/>
      <c r="E45" s="17">
        <f>SUM(E5:E44)</f>
        <v/>
      </c>
      <c r="F45" s="18">
        <f>SUM(F5:F44)</f>
        <v/>
      </c>
      <c r="G45" s="19">
        <f>SUM(G5:G44)</f>
        <v/>
      </c>
      <c r="H45" s="17">
        <f>SUM(H5:H44)</f>
        <v/>
      </c>
      <c r="I45" s="17">
        <f>SUM(I5:I44)</f>
        <v/>
      </c>
      <c r="J45" s="18">
        <f>SUM(J5:J44)</f>
        <v/>
      </c>
      <c r="K45" s="17">
        <f>SUM(K5:K44)</f>
        <v/>
      </c>
      <c r="L45" s="15" t="inlineStr"/>
      <c r="M45" s="15" t="inlineStr"/>
    </row>
    <row r="47">
      <c r="B47" s="20" t="inlineStr">
        <is>
          <t>Confidence: H = corroborated by the company's own disclosure or by a filed lawsuit. M = inferred from SPE naming convention in ANEEL SIGA — plausible, not verified. L = SPE name only, corporate group not established. Do not put an M or L name in front of GC as fact.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2" customWidth="1" min="2" max="2"/>
    <col width="5" customWidth="1" min="3" max="3"/>
    <col width="7" customWidth="1" min="4" max="4"/>
    <col width="34" customWidth="1" min="5" max="5"/>
    <col width="6" customWidth="1" min="6" max="6"/>
    <col width="12" customWidth="1" min="7" max="7"/>
    <col width="8" customWidth="1" min="8" max="8"/>
    <col width="11" customWidth="1" min="9" max="9"/>
    <col width="12" customWidth="1" min="10" max="10"/>
    <col width="10" customWidth="1" min="11" max="11"/>
    <col width="10" customWidth="1" min="12" max="12"/>
    <col width="78" customWidth="1" min="13" max="13"/>
  </cols>
  <sheetData>
    <row r="1">
      <c r="A1" s="1" t="inlineStr">
        <is>
          <t>Every complex with eligible curtailment, 1 Sep 2023 – 25 Nov 2025</t>
        </is>
      </c>
    </row>
    <row r="2">
      <c r="A2" s="2" t="inlineStr">
        <is>
          <t>The underlying evidence for the call list. 267 apuração units, 25,326 GWh of REL+CNF curtailment, computed from ONS open data. Sobreoferta (ENE) shown separately because the Portaria never pays for it.</t>
        </is>
      </c>
    </row>
    <row r="4" ht="32" customHeight="1">
      <c r="A4" s="3" t="inlineStr">
        <is>
          <t>#</t>
        </is>
      </c>
      <c r="B4" s="3" t="inlineStr">
        <is>
          <t>Complex</t>
        </is>
      </c>
      <c r="C4" s="3" t="inlineStr">
        <is>
          <t>UF</t>
        </is>
      </c>
      <c r="D4" s="3" t="inlineStr">
        <is>
          <t>Source</t>
        </is>
      </c>
      <c r="E4" s="3" t="inlineStr">
        <is>
          <t>Group / holder</t>
        </is>
      </c>
      <c r="F4" s="3" t="inlineStr">
        <is>
          <t>Conf.</t>
        </is>
      </c>
      <c r="G4" s="3" t="inlineStr">
        <is>
          <t>Eligible GWh (REL+CNF)</t>
        </is>
      </c>
      <c r="H4" s="3" t="inlineStr">
        <is>
          <t>% of pool</t>
        </is>
      </c>
      <c r="I4" s="3" t="inlineStr">
        <is>
          <t>Est. claim (R$m)</t>
        </is>
      </c>
      <c r="J4" s="3" t="inlineStr">
        <is>
          <t>Sobreoferta GWh (ENE)</t>
        </is>
      </c>
      <c r="K4" s="3" t="inlineStr">
        <is>
          <t>Eligible share of cuts</t>
        </is>
      </c>
      <c r="L4" s="3" t="inlineStr">
        <is>
          <t>Operating MW</t>
        </is>
      </c>
      <c r="M4" s="3" t="inlineStr">
        <is>
          <t>SPE holders in ANEEL SIGA</t>
        </is>
      </c>
    </row>
    <row r="5">
      <c r="A5" s="4" t="n">
        <v>1</v>
      </c>
      <c r="B5" s="5" t="inlineStr">
        <is>
          <t>SERRA DO MEL B</t>
        </is>
      </c>
      <c r="C5" s="4" t="inlineStr">
        <is>
          <t>RN</t>
        </is>
      </c>
      <c r="D5" s="4" t="inlineStr">
        <is>
          <t>Wind</t>
        </is>
      </c>
      <c r="E5" s="7" t="inlineStr">
        <is>
          <t>Echoenergia (Equatorial)</t>
        </is>
      </c>
      <c r="F5" s="13" t="inlineStr">
        <is>
          <t>H</t>
        </is>
      </c>
      <c r="G5" s="21" t="n">
        <v>950.6</v>
      </c>
      <c r="H5" s="10">
        <f>G5/Assumptions!$B$7</f>
        <v/>
      </c>
      <c r="I5" s="22">
        <f>G5*1000*Assumptions!$B$8/1000000</f>
        <v/>
      </c>
      <c r="J5" s="23" t="n">
        <v>176.9</v>
      </c>
      <c r="K5" s="10" t="n">
        <v>0.8431202095692899</v>
      </c>
      <c r="L5" s="8" t="n">
        <v>479</v>
      </c>
      <c r="M5" s="7" t="inlineStr">
        <is>
          <t>VILA PIAUI 2 EMPREENDIMENTOS E PARTICIPACOES S.A.; VILA PIAUI 1 EMPREENDIMENTOS E PARTICIPACOES S.A.; VILA ALAGOAS II EMPREENDIMENTOS E PARTICIPACOES S.A</t>
        </is>
      </c>
    </row>
    <row r="6">
      <c r="A6" s="4" t="n">
        <v>2</v>
      </c>
      <c r="B6" s="5" t="inlineStr">
        <is>
          <t>SERRA DO MEL A</t>
        </is>
      </c>
      <c r="C6" s="4" t="inlineStr">
        <is>
          <t>RN</t>
        </is>
      </c>
      <c r="D6" s="4" t="inlineStr">
        <is>
          <t>Wind</t>
        </is>
      </c>
      <c r="E6" s="7" t="inlineStr">
        <is>
          <t>Casa dos Ventos</t>
        </is>
      </c>
      <c r="F6" s="6" t="inlineStr">
        <is>
          <t>M</t>
        </is>
      </c>
      <c r="G6" s="21" t="n">
        <v>940.1</v>
      </c>
      <c r="H6" s="10">
        <f>G6/Assumptions!$B$7</f>
        <v/>
      </c>
      <c r="I6" s="22">
        <f>G6*1000*Assumptions!$B$8/1000000</f>
        <v/>
      </c>
      <c r="J6" s="23" t="n">
        <v>217</v>
      </c>
      <c r="K6" s="10" t="n">
        <v>0.8124681317583897</v>
      </c>
      <c r="L6" s="8" t="n">
        <v>552</v>
      </c>
      <c r="M6" s="7" t="inlineStr">
        <is>
          <t>VENTOS DE VILA CEARA I SPE S.A; VENTOS DE VILA CEARA II SPE S.A; VENTOS DE VILA PARAIBA IV SPE S.A</t>
        </is>
      </c>
    </row>
    <row r="7">
      <c r="A7" s="4" t="n">
        <v>3</v>
      </c>
      <c r="B7" s="5" t="inlineStr">
        <is>
          <t>CAJU</t>
        </is>
      </c>
      <c r="C7" s="4" t="inlineStr">
        <is>
          <t>RN</t>
        </is>
      </c>
      <c r="D7" s="4" t="inlineStr">
        <is>
          <t>Wind</t>
        </is>
      </c>
      <c r="E7" s="7" t="inlineStr">
        <is>
          <t>Casa dos Ventos</t>
        </is>
      </c>
      <c r="F7" s="6" t="inlineStr">
        <is>
          <t>M</t>
        </is>
      </c>
      <c r="G7" s="21" t="n">
        <v>670.7</v>
      </c>
      <c r="H7" s="10">
        <f>G7/Assumptions!$B$7</f>
        <v/>
      </c>
      <c r="I7" s="22">
        <f>G7*1000*Assumptions!$B$8/1000000</f>
        <v/>
      </c>
      <c r="J7" s="23" t="n">
        <v>248.6</v>
      </c>
      <c r="K7" s="10" t="n">
        <v>0.7295790656605438</v>
      </c>
      <c r="L7" s="8" t="n">
        <v>686</v>
      </c>
      <c r="M7" s="7" t="inlineStr">
        <is>
          <t>VENTOS DE SANTA TEREZA 14 ENERGIAS RENOVAVEIS S.A.; VENTOS DE SANTA TEREZA 01 ENERGIAS RENOVAVEIS S.A.; VENTOS DE SANTA TEREZA 02 ENERGIAS RENOVAVEIS S.A.</t>
        </is>
      </c>
    </row>
    <row r="8">
      <c r="A8" s="4" t="n">
        <v>4</v>
      </c>
      <c r="B8" s="5" t="inlineStr">
        <is>
          <t>JANAUBA</t>
        </is>
      </c>
      <c r="C8" s="4" t="inlineStr">
        <is>
          <t>MG</t>
        </is>
      </c>
      <c r="D8" s="4" t="inlineStr">
        <is>
          <t>Solar</t>
        </is>
      </c>
      <c r="E8" s="7" t="inlineStr">
        <is>
          <t>Janaúba (Telefônica/Aegea AP)</t>
        </is>
      </c>
      <c r="F8" s="13" t="inlineStr">
        <is>
          <t>H</t>
        </is>
      </c>
      <c r="G8" s="21" t="n">
        <v>628.2</v>
      </c>
      <c r="H8" s="10">
        <f>G8/Assumptions!$B$7</f>
        <v/>
      </c>
      <c r="I8" s="22">
        <f>G8*1000*Assumptions!$B$8/1000000</f>
        <v/>
      </c>
      <c r="J8" s="23" t="n">
        <v>625.2</v>
      </c>
      <c r="K8" s="10" t="n">
        <v>0.5012323600044762</v>
      </c>
      <c r="L8" s="8" t="n">
        <v>1337</v>
      </c>
      <c r="M8" s="7" t="inlineStr">
        <is>
          <t>TELEFONICA BRASIL S.A.; AGUAS DO RIO 4 SPE S.A; Janaúba I Geração Solar Energia S.A.</t>
        </is>
      </c>
    </row>
    <row r="9">
      <c r="A9" s="4" t="n">
        <v>5</v>
      </c>
      <c r="B9" s="5" t="inlineStr">
        <is>
          <t>MONTE VERDE</t>
        </is>
      </c>
      <c r="C9" s="4" t="inlineStr">
        <is>
          <t>RN</t>
        </is>
      </c>
      <c r="D9" s="4" t="inlineStr">
        <is>
          <t>Wind</t>
        </is>
      </c>
      <c r="E9" s="7" t="inlineStr">
        <is>
          <t>Central Eólica SPEs (RN/CE)</t>
        </is>
      </c>
      <c r="F9" s="6" t="inlineStr">
        <is>
          <t>M</t>
        </is>
      </c>
      <c r="G9" s="21" t="n">
        <v>581.4</v>
      </c>
      <c r="H9" s="10">
        <f>G9/Assumptions!$B$7</f>
        <v/>
      </c>
      <c r="I9" s="22">
        <f>G9*1000*Assumptions!$B$8/1000000</f>
        <v/>
      </c>
      <c r="J9" s="23" t="n">
        <v>237.2</v>
      </c>
      <c r="K9" s="10" t="n">
        <v>0.7102365287784626</v>
      </c>
      <c r="L9" s="8" t="n">
        <v>418</v>
      </c>
      <c r="M9" s="7" t="inlineStr">
        <is>
          <t>CENTRAL EOLICA MONTE VERDE I S.A; CENTRAL EOLICA MONTE VERDE II S.A; CENTRAL EOLICA MONTE VERDE III S.A</t>
        </is>
      </c>
    </row>
    <row r="10">
      <c r="A10" s="4" t="n">
        <v>6</v>
      </c>
      <c r="B10" s="5" t="inlineStr">
        <is>
          <t>SANTO AGOSTINHO</t>
        </is>
      </c>
      <c r="C10" s="4" t="inlineStr">
        <is>
          <t>RN</t>
        </is>
      </c>
      <c r="D10" s="4" t="inlineStr">
        <is>
          <t>Wind</t>
        </is>
      </c>
      <c r="E10" s="7" t="inlineStr">
        <is>
          <t>Engie Brasil Energia</t>
        </is>
      </c>
      <c r="F10" s="13" t="inlineStr">
        <is>
          <t>H</t>
        </is>
      </c>
      <c r="G10" s="21" t="n">
        <v>476.9</v>
      </c>
      <c r="H10" s="10">
        <f>G10/Assumptions!$B$7</f>
        <v/>
      </c>
      <c r="I10" s="22">
        <f>G10*1000*Assumptions!$B$8/1000000</f>
        <v/>
      </c>
      <c r="J10" s="23" t="n">
        <v>226</v>
      </c>
      <c r="K10" s="10" t="n">
        <v>0.6784360977258075</v>
      </c>
      <c r="L10" s="8" t="n">
        <v>434</v>
      </c>
      <c r="M10" s="7" t="inlineStr">
        <is>
          <t>Eólica Santo Agostinho 1 S.A.; Eólica Santo Agostinho 2 S.A.; Eólica Santo Agostinho 3 S.A.</t>
        </is>
      </c>
    </row>
    <row r="11">
      <c r="A11" s="4" t="n">
        <v>7</v>
      </c>
      <c r="B11" s="5" t="inlineStr">
        <is>
          <t>SERRA DO MEL II B</t>
        </is>
      </c>
      <c r="C11" s="4" t="inlineStr">
        <is>
          <t>RN</t>
        </is>
      </c>
      <c r="D11" s="4" t="inlineStr">
        <is>
          <t>Wind</t>
        </is>
      </c>
      <c r="E11" s="7" t="inlineStr">
        <is>
          <t>— unmapped —</t>
        </is>
      </c>
      <c r="F11" s="14" t="inlineStr">
        <is>
          <t>L</t>
        </is>
      </c>
      <c r="G11" s="21" t="n">
        <v>435.4</v>
      </c>
      <c r="H11" s="10">
        <f>G11/Assumptions!$B$7</f>
        <v/>
      </c>
      <c r="I11" s="22">
        <f>G11*1000*Assumptions!$B$8/1000000</f>
        <v/>
      </c>
      <c r="J11" s="23" t="n">
        <v>35.9</v>
      </c>
      <c r="K11" s="10" t="n">
        <v>0.9239124904102994</v>
      </c>
      <c r="L11" s="8" t="n">
        <v>0</v>
      </c>
      <c r="M11" s="7" t="inlineStr"/>
    </row>
    <row r="12">
      <c r="A12" s="4" t="n">
        <v>8</v>
      </c>
      <c r="B12" s="5" t="inlineStr">
        <is>
          <t>JERUSALEM</t>
        </is>
      </c>
      <c r="C12" s="4" t="inlineStr">
        <is>
          <t>RN</t>
        </is>
      </c>
      <c r="D12" s="4" t="inlineStr">
        <is>
          <t>Wind</t>
        </is>
      </c>
      <c r="E12" s="7" t="inlineStr">
        <is>
          <t>Central Eólica SPEs (RN/CE)</t>
        </is>
      </c>
      <c r="F12" s="6" t="inlineStr">
        <is>
          <t>M</t>
        </is>
      </c>
      <c r="G12" s="21" t="n">
        <v>407.2</v>
      </c>
      <c r="H12" s="10">
        <f>G12/Assumptions!$B$7</f>
        <v/>
      </c>
      <c r="I12" s="22">
        <f>G12*1000*Assumptions!$B$8/1000000</f>
        <v/>
      </c>
      <c r="J12" s="23" t="n">
        <v>197.1</v>
      </c>
      <c r="K12" s="10" t="n">
        <v>0.6738140546297203</v>
      </c>
      <c r="L12" s="8" t="n">
        <v>260</v>
      </c>
      <c r="M12" s="7" t="inlineStr">
        <is>
          <t>CENTRAL EOLICA JERUSALEM I S.A.; CENTRAL EOLICA JERUSALEM II S.A.; CENTRAL EOLICA JERUSALEM III S.A.</t>
        </is>
      </c>
    </row>
    <row r="13">
      <c r="A13" s="4" t="n">
        <v>9</v>
      </c>
      <c r="B13" s="5" t="inlineStr">
        <is>
          <t>SERRA DO MEL II A</t>
        </is>
      </c>
      <c r="C13" s="4" t="inlineStr">
        <is>
          <t>RN</t>
        </is>
      </c>
      <c r="D13" s="4" t="inlineStr">
        <is>
          <t>Wind</t>
        </is>
      </c>
      <c r="E13" s="7" t="inlineStr">
        <is>
          <t>— unmapped —</t>
        </is>
      </c>
      <c r="F13" s="14" t="inlineStr">
        <is>
          <t>L</t>
        </is>
      </c>
      <c r="G13" s="21" t="n">
        <v>402</v>
      </c>
      <c r="H13" s="10">
        <f>G13/Assumptions!$B$7</f>
        <v/>
      </c>
      <c r="I13" s="22">
        <f>G13*1000*Assumptions!$B$8/1000000</f>
        <v/>
      </c>
      <c r="J13" s="23" t="n">
        <v>45.1</v>
      </c>
      <c r="K13" s="10" t="n">
        <v>0.8990322338749452</v>
      </c>
      <c r="L13" s="8" t="n">
        <v>0</v>
      </c>
      <c r="M13" s="7" t="inlineStr"/>
    </row>
    <row r="14">
      <c r="A14" s="4" t="n">
        <v>10</v>
      </c>
      <c r="B14" s="5" t="inlineStr">
        <is>
          <t>RIO DO VENTO</t>
        </is>
      </c>
      <c r="C14" s="4" t="inlineStr">
        <is>
          <t>RN</t>
        </is>
      </c>
      <c r="D14" s="4" t="inlineStr">
        <is>
          <t>Wind</t>
        </is>
      </c>
      <c r="E14" s="7" t="inlineStr">
        <is>
          <t>Casa dos Ventos</t>
        </is>
      </c>
      <c r="F14" s="6" t="inlineStr">
        <is>
          <t>M</t>
        </is>
      </c>
      <c r="G14" s="21" t="n">
        <v>388.1</v>
      </c>
      <c r="H14" s="10">
        <f>G14/Assumptions!$B$7</f>
        <v/>
      </c>
      <c r="I14" s="22">
        <f>G14*1000*Assumptions!$B$8/1000000</f>
        <v/>
      </c>
      <c r="J14" s="23" t="n">
        <v>370.1</v>
      </c>
      <c r="K14" s="10" t="n">
        <v>0.5119049060817179</v>
      </c>
      <c r="L14" s="8" t="n">
        <v>504</v>
      </c>
      <c r="M14" s="7" t="inlineStr">
        <is>
          <t>VENTOS DE SANTA AMÉLIA ENERGIAS RENOVÁVEIS S/A; VENTOS DE SANTO ARTUR ENERGIAS RENOVAVEIS S/A; VENTOS DE SANTA ALICE ENERGIAS RENOVÁVEIS S/A</t>
        </is>
      </c>
    </row>
    <row r="15">
      <c r="A15" s="4" t="n">
        <v>11</v>
      </c>
      <c r="B15" s="5" t="inlineStr">
        <is>
          <t>LARANJEIRAS</t>
        </is>
      </c>
      <c r="C15" s="4" t="inlineStr">
        <is>
          <t>BA</t>
        </is>
      </c>
      <c r="D15" s="4" t="inlineStr">
        <is>
          <t>Wind</t>
        </is>
      </c>
      <c r="E15" s="7" t="inlineStr">
        <is>
          <t>Serena Energia</t>
        </is>
      </c>
      <c r="F15" s="6" t="inlineStr">
        <is>
          <t>M</t>
        </is>
      </c>
      <c r="G15" s="21" t="n">
        <v>382.3</v>
      </c>
      <c r="H15" s="10">
        <f>G15/Assumptions!$B$7</f>
        <v/>
      </c>
      <c r="I15" s="22">
        <f>G15*1000*Assumptions!$B$8/1000000</f>
        <v/>
      </c>
      <c r="J15" s="23" t="n">
        <v>270</v>
      </c>
      <c r="K15" s="10" t="n">
        <v>0.5860669438235973</v>
      </c>
      <c r="L15" s="8" t="n">
        <v>505</v>
      </c>
      <c r="M15" s="7" t="inlineStr">
        <is>
          <t>CARGILL AGRICOLA S A; ASSURUA 3 I ENERGIA S.A.; ASSURUA 3 II ENERGIA S.A.</t>
        </is>
      </c>
    </row>
    <row r="16">
      <c r="A16" s="4" t="n">
        <v>12</v>
      </c>
      <c r="B16" s="5" t="inlineStr">
        <is>
          <t>NOVO HORIZONTE</t>
        </is>
      </c>
      <c r="C16" s="4" t="inlineStr">
        <is>
          <t>BA</t>
        </is>
      </c>
      <c r="D16" s="4" t="inlineStr">
        <is>
          <t>Wind</t>
        </is>
      </c>
      <c r="E16" s="7" t="inlineStr">
        <is>
          <t>Casa dos Ventos</t>
        </is>
      </c>
      <c r="F16" s="6" t="inlineStr">
        <is>
          <t>M</t>
        </is>
      </c>
      <c r="G16" s="21" t="n">
        <v>349.4</v>
      </c>
      <c r="H16" s="10">
        <f>G16/Assumptions!$B$7</f>
        <v/>
      </c>
      <c r="I16" s="22">
        <f>G16*1000*Assumptions!$B$8/1000000</f>
        <v/>
      </c>
      <c r="J16" s="23" t="n">
        <v>228.7</v>
      </c>
      <c r="K16" s="10" t="n">
        <v>0.6044277402710811</v>
      </c>
      <c r="L16" s="8" t="n">
        <v>423</v>
      </c>
      <c r="M16" s="7" t="inlineStr">
        <is>
          <t>VENTOS DE SAO TEOFANO ENERGIAS RENOVAVEIS S.A.; VENTOS DE SAO TEONAS ENERGIAS RENOVAVEIS S.A.; VENTOS DE SAO THOMAS ENERGIAS RENOVAVEIS S.A.</t>
        </is>
      </c>
    </row>
    <row r="17">
      <c r="A17" s="4" t="n">
        <v>13</v>
      </c>
      <c r="B17" s="5" t="inlineStr">
        <is>
          <t>CUMARU</t>
        </is>
      </c>
      <c r="C17" s="4" t="inlineStr">
        <is>
          <t>RN</t>
        </is>
      </c>
      <c r="D17" s="4" t="inlineStr">
        <is>
          <t>Wind</t>
        </is>
      </c>
      <c r="E17" s="7" t="inlineStr">
        <is>
          <t>Enel Green Power Brasil</t>
        </is>
      </c>
      <c r="F17" s="13" t="inlineStr">
        <is>
          <t>H</t>
        </is>
      </c>
      <c r="G17" s="21" t="n">
        <v>325.9</v>
      </c>
      <c r="H17" s="10">
        <f>G17/Assumptions!$B$7</f>
        <v/>
      </c>
      <c r="I17" s="22">
        <f>G17*1000*Assumptions!$B$8/1000000</f>
        <v/>
      </c>
      <c r="J17" s="23" t="n">
        <v>206.7</v>
      </c>
      <c r="K17" s="10" t="n">
        <v>0.6119193662170974</v>
      </c>
      <c r="L17" s="8" t="n">
        <v>206</v>
      </c>
      <c r="M17" s="7" t="inlineStr">
        <is>
          <t>ENEL GREEN POWER CUMARU 01 S.A.; ENEL GREEN POWER CUMARU 05 S.A; ENEL GREEN POWER CUMARU 03 S.A</t>
        </is>
      </c>
    </row>
    <row r="18">
      <c r="A18" s="4" t="n">
        <v>14</v>
      </c>
      <c r="B18" s="5" t="inlineStr">
        <is>
          <t>RIO DO VENTO EXPANSAO</t>
        </is>
      </c>
      <c r="C18" s="4" t="inlineStr">
        <is>
          <t>RN</t>
        </is>
      </c>
      <c r="D18" s="4" t="inlineStr">
        <is>
          <t>Wind</t>
        </is>
      </c>
      <c r="E18" s="7" t="inlineStr">
        <is>
          <t>Casa dos Ventos</t>
        </is>
      </c>
      <c r="F18" s="6" t="inlineStr">
        <is>
          <t>M</t>
        </is>
      </c>
      <c r="G18" s="21" t="n">
        <v>321.9</v>
      </c>
      <c r="H18" s="10">
        <f>G18/Assumptions!$B$7</f>
        <v/>
      </c>
      <c r="I18" s="22">
        <f>G18*1000*Assumptions!$B$8/1000000</f>
        <v/>
      </c>
      <c r="J18" s="23" t="n">
        <v>277.7</v>
      </c>
      <c r="K18" s="10" t="n">
        <v>0.5369090482504694</v>
      </c>
      <c r="L18" s="8" t="n">
        <v>534</v>
      </c>
      <c r="M18" s="7" t="inlineStr">
        <is>
          <t>VENTOS DE SANTA LÍVIA ENERGIAS RENOVÁVEIS S.A.; VENTOS DE SÃO LUIGI ENERGIAS RENOVÁVEIS S.A.; VENTOS DE SÃO LEOPOLDO ENERGIAS RENOVÁVEIS S.A.</t>
        </is>
      </c>
    </row>
    <row r="19">
      <c r="A19" s="4" t="n">
        <v>15</v>
      </c>
      <c r="B19" s="5" t="inlineStr">
        <is>
          <t>VISTA ALEGRE - JANAUBA</t>
        </is>
      </c>
      <c r="C19" s="4" t="inlineStr">
        <is>
          <t>MG</t>
        </is>
      </c>
      <c r="D19" s="4" t="inlineStr">
        <is>
          <t>Solar</t>
        </is>
      </c>
      <c r="E19" s="7" t="inlineStr">
        <is>
          <t>Solar MG SPEs</t>
        </is>
      </c>
      <c r="F19" s="6" t="inlineStr">
        <is>
          <t>M</t>
        </is>
      </c>
      <c r="G19" s="21" t="n">
        <v>312.5</v>
      </c>
      <c r="H19" s="10">
        <f>G19/Assumptions!$B$7</f>
        <v/>
      </c>
      <c r="I19" s="22">
        <f>G19*1000*Assumptions!$B$8/1000000</f>
        <v/>
      </c>
      <c r="J19" s="23" t="n">
        <v>320.6</v>
      </c>
      <c r="K19" s="10" t="n">
        <v>0.4936220952921534</v>
      </c>
      <c r="L19" s="8" t="n">
        <v>768</v>
      </c>
      <c r="M19" s="7" t="inlineStr">
        <is>
          <t>VISTA ALEGRE VII ENERGIA SPE LTDA.; CENTRAL FOTOVOLTAICA VISTA ALEGRE XV SPE LTDA.; VISTA ALEGRE I ENERGIA SPE LTDA</t>
        </is>
      </c>
    </row>
    <row r="20">
      <c r="A20" s="4" t="n">
        <v>16</v>
      </c>
      <c r="B20" s="5" t="inlineStr">
        <is>
          <t>IGAPORA II</t>
        </is>
      </c>
      <c r="C20" s="4" t="inlineStr">
        <is>
          <t>BA</t>
        </is>
      </c>
      <c r="D20" s="4" t="inlineStr">
        <is>
          <t>Wind</t>
        </is>
      </c>
      <c r="E20" s="7" t="inlineStr">
        <is>
          <t>Serena Energia</t>
        </is>
      </c>
      <c r="F20" s="6" t="inlineStr">
        <is>
          <t>M</t>
        </is>
      </c>
      <c r="G20" s="21" t="n">
        <v>285.6</v>
      </c>
      <c r="H20" s="10">
        <f>G20/Assumptions!$B$7</f>
        <v/>
      </c>
      <c r="I20" s="22">
        <f>G20*1000*Assumptions!$B$8/1000000</f>
        <v/>
      </c>
      <c r="J20" s="23" t="n">
        <v>166.1</v>
      </c>
      <c r="K20" s="10" t="n">
        <v>0.6322978070495379</v>
      </c>
      <c r="L20" s="8" t="n">
        <v>294</v>
      </c>
      <c r="M20" s="7" t="inlineStr">
        <is>
          <t>CENTRAIS EOLICAS SERRA DO SALTO LTDA.; CENTRAIS EOLICAS ILHEUS LTDA.; CENTRAIS EOLICAS CANDIBA LTDA.</t>
        </is>
      </c>
    </row>
    <row r="21">
      <c r="A21" s="4" t="n">
        <v>17</v>
      </c>
      <c r="B21" s="5" t="inlineStr">
        <is>
          <t>MOSSORO II</t>
        </is>
      </c>
      <c r="C21" s="4" t="inlineStr">
        <is>
          <t>RN</t>
        </is>
      </c>
      <c r="D21" s="4" t="inlineStr">
        <is>
          <t>Wind</t>
        </is>
      </c>
      <c r="E21" s="7" t="inlineStr">
        <is>
          <t>Casa dos Ventos</t>
        </is>
      </c>
      <c r="F21" s="6" t="inlineStr">
        <is>
          <t>M</t>
        </is>
      </c>
      <c r="G21" s="21" t="n">
        <v>283.3</v>
      </c>
      <c r="H21" s="10">
        <f>G21/Assumptions!$B$7</f>
        <v/>
      </c>
      <c r="I21" s="22">
        <f>G21*1000*Assumptions!$B$8/1000000</f>
        <v/>
      </c>
      <c r="J21" s="23" t="n">
        <v>187.5</v>
      </c>
      <c r="K21" s="10" t="n">
        <v>0.601664426099212</v>
      </c>
      <c r="L21" s="8" t="n">
        <v>408</v>
      </c>
      <c r="M21" s="7" t="inlineStr">
        <is>
          <t>USINA DE ENERGIA EOLICA CARCARA I SPE S.A.; USINA DE ENERGIA EOLICA CAICARA I SPE S.A.; USINA DE ENERGIA EOLICA CARCARA II SPE S.A.</t>
        </is>
      </c>
    </row>
    <row r="22">
      <c r="A22" s="4" t="n">
        <v>18</v>
      </c>
      <c r="B22" s="5" t="inlineStr">
        <is>
          <t>SOL DO SERTAO</t>
        </is>
      </c>
      <c r="C22" s="4" t="inlineStr">
        <is>
          <t>BA</t>
        </is>
      </c>
      <c r="D22" s="4" t="inlineStr">
        <is>
          <t>Solar</t>
        </is>
      </c>
      <c r="E22" s="7" t="inlineStr">
        <is>
          <t>Elera Renováveis (Brookfield)</t>
        </is>
      </c>
      <c r="F22" s="13" t="inlineStr">
        <is>
          <t>H</t>
        </is>
      </c>
      <c r="G22" s="21" t="n">
        <v>281.8</v>
      </c>
      <c r="H22" s="10">
        <f>G22/Assumptions!$B$7</f>
        <v/>
      </c>
      <c r="I22" s="22">
        <f>G22*1000*Assumptions!$B$8/1000000</f>
        <v/>
      </c>
      <c r="J22" s="23" t="n">
        <v>288.1</v>
      </c>
      <c r="K22" s="10" t="n">
        <v>0.4945328718119137</v>
      </c>
      <c r="L22" s="8" t="n">
        <v>415</v>
      </c>
      <c r="M22" s="7" t="inlineStr">
        <is>
          <t>SOL DO SERTAO OB III ENERGIA SOLAR S.A; SOL DO SERTÃO OB I ENERGIA SOLAR LTDA; SOL DO SERTAO OB II ENERGIA SOLAR S.A</t>
        </is>
      </c>
    </row>
    <row r="23">
      <c r="A23" s="4" t="n">
        <v>19</v>
      </c>
      <c r="B23" s="5" t="inlineStr">
        <is>
          <t>LAGOA DOS VENTOS</t>
        </is>
      </c>
      <c r="C23" s="4" t="inlineStr">
        <is>
          <t>PI</t>
        </is>
      </c>
      <c r="D23" s="4" t="inlineStr">
        <is>
          <t>Wind</t>
        </is>
      </c>
      <c r="E23" s="7" t="inlineStr">
        <is>
          <t>Enel Green Power Brasil</t>
        </is>
      </c>
      <c r="F23" s="13" t="inlineStr">
        <is>
          <t>H</t>
        </is>
      </c>
      <c r="G23" s="21" t="n">
        <v>279.6</v>
      </c>
      <c r="H23" s="10">
        <f>G23/Assumptions!$B$7</f>
        <v/>
      </c>
      <c r="I23" s="22">
        <f>G23*1000*Assumptions!$B$8/1000000</f>
        <v/>
      </c>
      <c r="J23" s="23" t="n">
        <v>321.9</v>
      </c>
      <c r="K23" s="10" t="n">
        <v>0.4648704896885568</v>
      </c>
      <c r="L23" s="8" t="n">
        <v>717</v>
      </c>
      <c r="M23" s="7" t="inlineStr">
        <is>
          <t>ENEL GREEN POWER VENTOS DE SANTA ANGELA 1 S.A.; ENEL GREEN POWER VENTOS DE SANTA ANGELA 2 S.A.; ENEL GREEN POWER VENTOS DE SANTA ANGELA 3 S.A.</t>
        </is>
      </c>
    </row>
    <row r="24">
      <c r="A24" s="4" t="n">
        <v>20</v>
      </c>
      <c r="B24" s="5" t="inlineStr">
        <is>
          <t>MONTE DO RONCA</t>
        </is>
      </c>
      <c r="C24" s="4" t="inlineStr">
        <is>
          <t>RN</t>
        </is>
      </c>
      <c r="D24" s="4" t="inlineStr">
        <is>
          <t>Wind</t>
        </is>
      </c>
      <c r="E24" s="7" t="inlineStr">
        <is>
          <t>Casa dos Ventos</t>
        </is>
      </c>
      <c r="F24" s="6" t="inlineStr">
        <is>
          <t>M</t>
        </is>
      </c>
      <c r="G24" s="21" t="n">
        <v>256</v>
      </c>
      <c r="H24" s="10">
        <f>G24/Assumptions!$B$7</f>
        <v/>
      </c>
      <c r="I24" s="22">
        <f>G24*1000*Assumptions!$B$8/1000000</f>
        <v/>
      </c>
      <c r="J24" s="23" t="n">
        <v>183.2</v>
      </c>
      <c r="K24" s="10" t="n">
        <v>0.5829165450710475</v>
      </c>
      <c r="L24" s="8" t="n">
        <v>256</v>
      </c>
      <c r="M24" s="7" t="inlineStr">
        <is>
          <t>VENTOS DE SAO FERNANDO I ENERGIA S.A; VENTOS DE SAO FERNANDO II ENERGIA S.A.; VENTOS DE SAO FERNANDO III ENERGIA S.A</t>
        </is>
      </c>
    </row>
    <row r="25">
      <c r="A25" s="4" t="n">
        <v>21</v>
      </c>
      <c r="B25" s="5" t="inlineStr">
        <is>
          <t>SERRA DO MEL C</t>
        </is>
      </c>
      <c r="C25" s="4" t="inlineStr">
        <is>
          <t>RN</t>
        </is>
      </c>
      <c r="D25" s="4" t="inlineStr">
        <is>
          <t>Solar</t>
        </is>
      </c>
      <c r="E25" s="7" t="inlineStr">
        <is>
          <t>Serra do Mel solar SPEs</t>
        </is>
      </c>
      <c r="F25" s="6" t="inlineStr">
        <is>
          <t>M</t>
        </is>
      </c>
      <c r="G25" s="21" t="n">
        <v>253.4</v>
      </c>
      <c r="H25" s="10">
        <f>G25/Assumptions!$B$7</f>
        <v/>
      </c>
      <c r="I25" s="22">
        <f>G25*1000*Assumptions!$B$8/1000000</f>
        <v/>
      </c>
      <c r="J25" s="23" t="n">
        <v>245.4</v>
      </c>
      <c r="K25" s="10" t="n">
        <v>0.5080435182969564</v>
      </c>
      <c r="L25" s="8" t="n">
        <v>433</v>
      </c>
      <c r="M25" s="7" t="inlineStr">
        <is>
          <t>SOL SERRA DO MEL I SPE S.A; SOL SERRA DO MEL II SPE S.A; SOL SERRA DO MEL V SPE S.A</t>
        </is>
      </c>
    </row>
    <row r="26">
      <c r="A26" s="4" t="n">
        <v>22</v>
      </c>
      <c r="B26" s="5" t="inlineStr">
        <is>
          <t>ARACATI II</t>
        </is>
      </c>
      <c r="C26" s="4" t="inlineStr">
        <is>
          <t>CE</t>
        </is>
      </c>
      <c r="D26" s="4" t="inlineStr">
        <is>
          <t>Wind</t>
        </is>
      </c>
      <c r="E26" s="7" t="inlineStr">
        <is>
          <t>CPFL Energias Renováveis (State Grid)</t>
        </is>
      </c>
      <c r="F26" s="13" t="inlineStr">
        <is>
          <t>H</t>
        </is>
      </c>
      <c r="G26" s="21" t="n">
        <v>252.7</v>
      </c>
      <c r="H26" s="10">
        <f>G26/Assumptions!$B$7</f>
        <v/>
      </c>
      <c r="I26" s="22">
        <f>G26*1000*Assumptions!$B$8/1000000</f>
        <v/>
      </c>
      <c r="J26" s="23" t="n">
        <v>81.59999999999999</v>
      </c>
      <c r="K26" s="10" t="n">
        <v>0.7558855199466595</v>
      </c>
      <c r="L26" s="8" t="n">
        <v>138</v>
      </c>
      <c r="M26" s="7" t="inlineStr">
        <is>
          <t>CPFL ENERGIAS RENOVÁVEIS S.A.</t>
        </is>
      </c>
    </row>
    <row r="27">
      <c r="A27" s="4" t="n">
        <v>23</v>
      </c>
      <c r="B27" s="5" t="inlineStr">
        <is>
          <t>SERRA DO ASSURUA</t>
        </is>
      </c>
      <c r="C27" s="4" t="inlineStr">
        <is>
          <t>BA</t>
        </is>
      </c>
      <c r="D27" s="4" t="inlineStr">
        <is>
          <t>Wind</t>
        </is>
      </c>
      <c r="E27" s="7" t="inlineStr">
        <is>
          <t>Engie Brasil Energia</t>
        </is>
      </c>
      <c r="F27" s="13" t="inlineStr">
        <is>
          <t>H</t>
        </is>
      </c>
      <c r="G27" s="21" t="n">
        <v>252.3</v>
      </c>
      <c r="H27" s="10">
        <f>G27/Assumptions!$B$7</f>
        <v/>
      </c>
      <c r="I27" s="22">
        <f>G27*1000*Assumptions!$B$8/1000000</f>
        <v/>
      </c>
      <c r="J27" s="23" t="n">
        <v>215.5</v>
      </c>
      <c r="K27" s="10" t="n">
        <v>0.539359646255148</v>
      </c>
      <c r="L27" s="8" t="n">
        <v>846</v>
      </c>
      <c r="M27" s="7" t="inlineStr">
        <is>
          <t>EÓLICA SERRA DO ASSURUÁ 1 LTDA.; EÓLICA SERRA DO ASSURUÁ 2 LTDA.; EÓLICA SERRA DO ASSURUÁ 3 LTDA</t>
        </is>
      </c>
    </row>
    <row r="28">
      <c r="A28" s="4" t="n">
        <v>24</v>
      </c>
      <c r="B28" s="5" t="inlineStr">
        <is>
          <t>SOL DO CERRADO</t>
        </is>
      </c>
      <c r="C28" s="4" t="inlineStr">
        <is>
          <t>MG</t>
        </is>
      </c>
      <c r="D28" s="4" t="inlineStr">
        <is>
          <t>Solar</t>
        </is>
      </c>
      <c r="E28" s="7" t="inlineStr">
        <is>
          <t>— unmapped —</t>
        </is>
      </c>
      <c r="F28" s="14" t="inlineStr">
        <is>
          <t>L</t>
        </is>
      </c>
      <c r="G28" s="21" t="n">
        <v>242</v>
      </c>
      <c r="H28" s="10">
        <f>G28/Assumptions!$B$7</f>
        <v/>
      </c>
      <c r="I28" s="22">
        <f>G28*1000*Assumptions!$B$8/1000000</f>
        <v/>
      </c>
      <c r="J28" s="23" t="n">
        <v>276</v>
      </c>
      <c r="K28" s="10" t="n">
        <v>0.4671780270772753</v>
      </c>
      <c r="L28" s="8" t="n">
        <v>681</v>
      </c>
      <c r="M28" s="7" t="inlineStr"/>
    </row>
    <row r="29">
      <c r="A29" s="4" t="n">
        <v>25</v>
      </c>
      <c r="B29" s="5" t="inlineStr">
        <is>
          <t>ARINOS 2</t>
        </is>
      </c>
      <c r="C29" s="4" t="inlineStr">
        <is>
          <t>MG</t>
        </is>
      </c>
      <c r="D29" s="4" t="inlineStr">
        <is>
          <t>Solar</t>
        </is>
      </c>
      <c r="E29" s="7" t="inlineStr">
        <is>
          <t>— unmapped —</t>
        </is>
      </c>
      <c r="F29" s="14" t="inlineStr">
        <is>
          <t>L</t>
        </is>
      </c>
      <c r="G29" s="21" t="n">
        <v>240.6</v>
      </c>
      <c r="H29" s="10">
        <f>G29/Assumptions!$B$7</f>
        <v/>
      </c>
      <c r="I29" s="22">
        <f>G29*1000*Assumptions!$B$8/1000000</f>
        <v/>
      </c>
      <c r="J29" s="23" t="n">
        <v>452.8</v>
      </c>
      <c r="K29" s="10" t="n">
        <v>0.3469968863149424</v>
      </c>
      <c r="L29" s="8" t="n">
        <v>0</v>
      </c>
      <c r="M29" s="7" t="inlineStr"/>
    </row>
    <row r="30">
      <c r="A30" s="4" t="n">
        <v>26</v>
      </c>
      <c r="B30" s="5" t="inlineStr">
        <is>
          <t>MORRO DO CHAPEU SUL II</t>
        </is>
      </c>
      <c r="C30" s="4" t="inlineStr">
        <is>
          <t>BA</t>
        </is>
      </c>
      <c r="D30" s="4" t="inlineStr">
        <is>
          <t>Wind</t>
        </is>
      </c>
      <c r="E30" s="7" t="inlineStr">
        <is>
          <t>Enel Green Power Brasil</t>
        </is>
      </c>
      <c r="F30" s="13" t="inlineStr">
        <is>
          <t>H</t>
        </is>
      </c>
      <c r="G30" s="21" t="n">
        <v>232.6</v>
      </c>
      <c r="H30" s="10">
        <f>G30/Assumptions!$B$7</f>
        <v/>
      </c>
      <c r="I30" s="22">
        <f>G30*1000*Assumptions!$B$8/1000000</f>
        <v/>
      </c>
      <c r="J30" s="23" t="n">
        <v>209.6</v>
      </c>
      <c r="K30" s="10" t="n">
        <v>0.5259192232023285</v>
      </c>
      <c r="L30" s="8" t="n">
        <v>353</v>
      </c>
      <c r="M30" s="7" t="inlineStr">
        <is>
          <t>ENEL GREEN POWER VENTOS DE SANTA ESPERANCA 15 S.A.; ENEL GREEN POWER VENTOS DE SANTA ESPERANÇA 16 S.A.; ENEL GREEN POWER VENTOS DE SANTA ESPERANÇA 17 S.A.</t>
        </is>
      </c>
    </row>
    <row r="31">
      <c r="A31" s="4" t="n">
        <v>27</v>
      </c>
      <c r="B31" s="5" t="inlineStr">
        <is>
          <t>AFONSO BEZERRA</t>
        </is>
      </c>
      <c r="C31" s="4" t="inlineStr">
        <is>
          <t>RN</t>
        </is>
      </c>
      <c r="D31" s="4" t="inlineStr">
        <is>
          <t>Wind</t>
        </is>
      </c>
      <c r="E31" s="7" t="inlineStr">
        <is>
          <t>Cutia/União dos Ventos SPEs</t>
        </is>
      </c>
      <c r="F31" s="6" t="inlineStr">
        <is>
          <t>M</t>
        </is>
      </c>
      <c r="G31" s="21" t="n">
        <v>225.5</v>
      </c>
      <c r="H31" s="10">
        <f>G31/Assumptions!$B$7</f>
        <v/>
      </c>
      <c r="I31" s="22">
        <f>G31*1000*Assumptions!$B$8/1000000</f>
        <v/>
      </c>
      <c r="J31" s="23" t="n">
        <v>97.09999999999999</v>
      </c>
      <c r="K31" s="10" t="n">
        <v>0.6989497752028291</v>
      </c>
      <c r="L31" s="8" t="n">
        <v>160</v>
      </c>
      <c r="M31" s="7" t="inlineStr">
        <is>
          <t>AFONSO BEZERRA I GERACAO DE ENERGIA SPE S.A; AFONSO BEZERRA II GERACAO DE ENERGIA SPE S.A; AFONSO BEZERRA III GERACAO DE ENERGIA SPE S.A.</t>
        </is>
      </c>
    </row>
    <row r="32">
      <c r="A32" s="4" t="n">
        <v>28</v>
      </c>
      <c r="B32" s="5" t="inlineStr">
        <is>
          <t>CUTIA</t>
        </is>
      </c>
      <c r="C32" s="4" t="inlineStr">
        <is>
          <t>RN</t>
        </is>
      </c>
      <c r="D32" s="4" t="inlineStr">
        <is>
          <t>Wind</t>
        </is>
      </c>
      <c r="E32" s="7" t="inlineStr">
        <is>
          <t>Cutia/União dos Ventos SPEs</t>
        </is>
      </c>
      <c r="F32" s="6" t="inlineStr">
        <is>
          <t>M</t>
        </is>
      </c>
      <c r="G32" s="21" t="n">
        <v>219.8</v>
      </c>
      <c r="H32" s="10">
        <f>G32/Assumptions!$B$7</f>
        <v/>
      </c>
      <c r="I32" s="22">
        <f>G32*1000*Assumptions!$B$8/1000000</f>
        <v/>
      </c>
      <c r="J32" s="23" t="n">
        <v>254.3</v>
      </c>
      <c r="K32" s="10" t="n">
        <v>0.4636060625197237</v>
      </c>
      <c r="L32" s="8" t="n">
        <v>313</v>
      </c>
      <c r="M32" s="7" t="inlineStr">
        <is>
          <t>USINA DE ENERGIA EOLICA GUAJIRU S/A; USINA DE ENERGIA EOLICA JANGADA S/A; USINA DE ENERGIA EOLICA CUTIA S/A</t>
        </is>
      </c>
    </row>
    <row r="33">
      <c r="A33" s="4" t="n">
        <v>29</v>
      </c>
      <c r="B33" s="5" t="inlineStr">
        <is>
          <t>JAIBA V</t>
        </is>
      </c>
      <c r="C33" s="4" t="inlineStr">
        <is>
          <t>MG</t>
        </is>
      </c>
      <c r="D33" s="4" t="inlineStr">
        <is>
          <t>Solar</t>
        </is>
      </c>
      <c r="E33" s="7" t="inlineStr">
        <is>
          <t>Jaíba V (Sendas/Assaí AP)</t>
        </is>
      </c>
      <c r="F33" s="13" t="inlineStr">
        <is>
          <t>H</t>
        </is>
      </c>
      <c r="G33" s="21" t="n">
        <v>209.8</v>
      </c>
      <c r="H33" s="10">
        <f>G33/Assumptions!$B$7</f>
        <v/>
      </c>
      <c r="I33" s="22">
        <f>G33*1000*Assumptions!$B$8/1000000</f>
        <v/>
      </c>
      <c r="J33" s="23" t="n">
        <v>240.5</v>
      </c>
      <c r="K33" s="10" t="n">
        <v>0.4658596062992573</v>
      </c>
      <c r="L33" s="8" t="n">
        <v>500</v>
      </c>
      <c r="M33" s="7" t="inlineStr">
        <is>
          <t>SENDAS DISTRIBUIDORA S/A; Jaíba CN Energias Renováveis S.A.; Jaíba CE Energias Renováveis S.A.</t>
        </is>
      </c>
    </row>
    <row r="34">
      <c r="A34" s="4" t="n">
        <v>30</v>
      </c>
      <c r="B34" s="5" t="inlineStr">
        <is>
          <t>SERRA DA BABILONIA</t>
        </is>
      </c>
      <c r="C34" s="4" t="inlineStr">
        <is>
          <t>BA</t>
        </is>
      </c>
      <c r="D34" s="4" t="inlineStr">
        <is>
          <t>Wind</t>
        </is>
      </c>
      <c r="E34" s="7" t="inlineStr">
        <is>
          <t>Serra da Babilônia / BA SPEs</t>
        </is>
      </c>
      <c r="F34" s="6" t="inlineStr">
        <is>
          <t>M</t>
        </is>
      </c>
      <c r="G34" s="21" t="n">
        <v>207.5</v>
      </c>
      <c r="H34" s="10">
        <f>G34/Assumptions!$B$7</f>
        <v/>
      </c>
      <c r="I34" s="22">
        <f>G34*1000*Assumptions!$B$8/1000000</f>
        <v/>
      </c>
      <c r="J34" s="23" t="n">
        <v>177.3</v>
      </c>
      <c r="K34" s="10" t="n">
        <v>0.5392645438506894</v>
      </c>
      <c r="L34" s="8" t="n">
        <v>505</v>
      </c>
      <c r="M34" s="7" t="inlineStr">
        <is>
          <t>EOLICA SERRA DA BABILONIA II S.A; EOLICA SERRA DA BABILONIA IX S.A; EOLICA SERRA DA BABILONIA VI S.A</t>
        </is>
      </c>
    </row>
    <row r="35">
      <c r="A35" s="4" t="n">
        <v>31</v>
      </c>
      <c r="B35" s="5" t="inlineStr">
        <is>
          <t>VENTOS SANTA EUGENIA</t>
        </is>
      </c>
      <c r="C35" s="4" t="inlineStr">
        <is>
          <t>BA</t>
        </is>
      </c>
      <c r="D35" s="4" t="inlineStr">
        <is>
          <t>Wind</t>
        </is>
      </c>
      <c r="E35" s="7" t="inlineStr">
        <is>
          <t>— unmapped —</t>
        </is>
      </c>
      <c r="F35" s="14" t="inlineStr">
        <is>
          <t>L</t>
        </is>
      </c>
      <c r="G35" s="21" t="n">
        <v>206.3</v>
      </c>
      <c r="H35" s="10">
        <f>G35/Assumptions!$B$7</f>
        <v/>
      </c>
      <c r="I35" s="22">
        <f>G35*1000*Assumptions!$B$8/1000000</f>
        <v/>
      </c>
      <c r="J35" s="23" t="n">
        <v>128.5</v>
      </c>
      <c r="K35" s="10" t="n">
        <v>0.6162558267591982</v>
      </c>
      <c r="L35" s="8" t="n">
        <v>0</v>
      </c>
      <c r="M35" s="7" t="inlineStr"/>
    </row>
    <row r="36">
      <c r="A36" s="4" t="n">
        <v>32</v>
      </c>
      <c r="B36" s="5" t="inlineStr">
        <is>
          <t>BELMONTE</t>
        </is>
      </c>
      <c r="C36" s="4" t="inlineStr">
        <is>
          <t>PE</t>
        </is>
      </c>
      <c r="D36" s="4" t="inlineStr">
        <is>
          <t>Solar</t>
        </is>
      </c>
      <c r="E36" s="7" t="inlineStr">
        <is>
          <t>Belmonte (Mateus Supermercados AP)</t>
        </is>
      </c>
      <c r="F36" s="13" t="inlineStr">
        <is>
          <t>H</t>
        </is>
      </c>
      <c r="G36" s="21" t="n">
        <v>204.2</v>
      </c>
      <c r="H36" s="10">
        <f>G36/Assumptions!$B$7</f>
        <v/>
      </c>
      <c r="I36" s="22">
        <f>G36*1000*Assumptions!$B$8/1000000</f>
        <v/>
      </c>
      <c r="J36" s="23" t="n">
        <v>243.7</v>
      </c>
      <c r="K36" s="10" t="n">
        <v>0.4559505886080974</v>
      </c>
      <c r="L36" s="8" t="n">
        <v>455</v>
      </c>
      <c r="M36" s="7" t="inlineStr">
        <is>
          <t>MATEUS SUPERMERCADOS S.A.; BELMONTE 1.1. PARQUE SOLAR S.A.; BELMONTE 1.2. PARQUE SOLAR S.A.</t>
        </is>
      </c>
    </row>
    <row r="37">
      <c r="A37" s="4" t="n">
        <v>33</v>
      </c>
      <c r="B37" s="5" t="inlineStr">
        <is>
          <t>UMBURANAS</t>
        </is>
      </c>
      <c r="C37" s="4" t="inlineStr">
        <is>
          <t>BA</t>
        </is>
      </c>
      <c r="D37" s="4" t="inlineStr">
        <is>
          <t>Wind</t>
        </is>
      </c>
      <c r="E37" s="7" t="inlineStr">
        <is>
          <t>Engie Brasil Energia</t>
        </is>
      </c>
      <c r="F37" s="13" t="inlineStr">
        <is>
          <t>H</t>
        </is>
      </c>
      <c r="G37" s="21" t="n">
        <v>202.7</v>
      </c>
      <c r="H37" s="10">
        <f>G37/Assumptions!$B$7</f>
        <v/>
      </c>
      <c r="I37" s="22">
        <f>G37*1000*Assumptions!$B$8/1000000</f>
        <v/>
      </c>
      <c r="J37" s="23" t="n">
        <v>205.3</v>
      </c>
      <c r="K37" s="10" t="n">
        <v>0.4967926078480668</v>
      </c>
      <c r="L37" s="8" t="n">
        <v>360</v>
      </c>
      <c r="M37" s="7" t="inlineStr">
        <is>
          <t>EOLICA UMBURANAS 5 S.A.; EOLICA UMBURANAS 1 S.A.; EOLICA UMBURANAS 2 S.A.</t>
        </is>
      </c>
    </row>
    <row r="38">
      <c r="A38" s="4" t="n">
        <v>34</v>
      </c>
      <c r="B38" s="5" t="inlineStr">
        <is>
          <t>CAMPO LARGO</t>
        </is>
      </c>
      <c r="C38" s="4" t="inlineStr">
        <is>
          <t>BA</t>
        </is>
      </c>
      <c r="D38" s="4" t="inlineStr">
        <is>
          <t>Wind</t>
        </is>
      </c>
      <c r="E38" s="7" t="inlineStr">
        <is>
          <t>Engie Brasil Energia</t>
        </is>
      </c>
      <c r="F38" s="13" t="inlineStr">
        <is>
          <t>H</t>
        </is>
      </c>
      <c r="G38" s="21" t="n">
        <v>198.3</v>
      </c>
      <c r="H38" s="10">
        <f>G38/Assumptions!$B$7</f>
        <v/>
      </c>
      <c r="I38" s="22">
        <f>G38*1000*Assumptions!$B$8/1000000</f>
        <v/>
      </c>
      <c r="J38" s="23" t="n">
        <v>275.8</v>
      </c>
      <c r="K38" s="10" t="n">
        <v>0.4182694865120012</v>
      </c>
      <c r="L38" s="8" t="n">
        <v>688</v>
      </c>
      <c r="M38" s="7" t="inlineStr">
        <is>
          <t>CLWP EOLICA PARQUE III S.A.; CLWP EOLICA PARQUE IV S.A.; CLWP EOLICA PARQUE V S.A.</t>
        </is>
      </c>
    </row>
    <row r="39">
      <c r="A39" s="4" t="n">
        <v>35</v>
      </c>
      <c r="B39" s="5" t="inlineStr">
        <is>
          <t>ARACAS</t>
        </is>
      </c>
      <c r="C39" s="4" t="inlineStr">
        <is>
          <t>BA</t>
        </is>
      </c>
      <c r="D39" s="4" t="inlineStr">
        <is>
          <t>Wind</t>
        </is>
      </c>
      <c r="E39" s="7" t="inlineStr">
        <is>
          <t>CENTRAIS EOLICAS VENTOS DO NORDESTE S/A (SPE only)</t>
        </is>
      </c>
      <c r="F39" s="14" t="inlineStr">
        <is>
          <t>L</t>
        </is>
      </c>
      <c r="G39" s="21" t="n">
        <v>195.8</v>
      </c>
      <c r="H39" s="10">
        <f>G39/Assumptions!$B$7</f>
        <v/>
      </c>
      <c r="I39" s="22">
        <f>G39*1000*Assumptions!$B$8/1000000</f>
        <v/>
      </c>
      <c r="J39" s="23" t="n">
        <v>107.9</v>
      </c>
      <c r="K39" s="10" t="n">
        <v>0.6447655314993225</v>
      </c>
      <c r="L39" s="8" t="n">
        <v>168</v>
      </c>
      <c r="M39" s="7" t="inlineStr">
        <is>
          <t>CENTRAIS EOLICAS VENTOS DO NORDESTE S/A; CENTRAIS EOLICAS DA PRATA S.A; Centrais Eólicas dos Araçás S.A</t>
        </is>
      </c>
    </row>
    <row r="40">
      <c r="A40" s="4" t="n">
        <v>36</v>
      </c>
      <c r="B40" s="5" t="inlineStr">
        <is>
          <t>BRISA POTIGUAR I</t>
        </is>
      </c>
      <c r="C40" s="4" t="inlineStr">
        <is>
          <t>RN</t>
        </is>
      </c>
      <c r="D40" s="4" t="inlineStr">
        <is>
          <t>Wind</t>
        </is>
      </c>
      <c r="E40" s="7" t="inlineStr">
        <is>
          <t>Casa dos Ventos</t>
        </is>
      </c>
      <c r="F40" s="6" t="inlineStr">
        <is>
          <t>M</t>
        </is>
      </c>
      <c r="G40" s="21" t="n">
        <v>193.7</v>
      </c>
      <c r="H40" s="10">
        <f>G40/Assumptions!$B$7</f>
        <v/>
      </c>
      <c r="I40" s="22">
        <f>G40*1000*Assumptions!$B$8/1000000</f>
        <v/>
      </c>
      <c r="J40" s="23" t="n">
        <v>126.9</v>
      </c>
      <c r="K40" s="10" t="n">
        <v>0.6041591820477847</v>
      </c>
      <c r="L40" s="8" t="n">
        <v>184</v>
      </c>
      <c r="M40" s="7" t="inlineStr">
        <is>
          <t>NOVA ASA BRANCA I ENERGIAS RENOVAVEIS S.A; NOVA EURUS IV ENERGIAS RENOVAVEIS S.A; NOVA ASA BRANCA II ENERGIAS RENOVAVEIS S.A</t>
        </is>
      </c>
    </row>
    <row r="41">
      <c r="A41" s="4" t="n">
        <v>37</v>
      </c>
      <c r="B41" s="5" t="inlineStr">
        <is>
          <t>SANTA CLARA</t>
        </is>
      </c>
      <c r="C41" s="4" t="inlineStr">
        <is>
          <t>RN</t>
        </is>
      </c>
      <c r="D41" s="4" t="inlineStr">
        <is>
          <t>Wind</t>
        </is>
      </c>
      <c r="E41" s="7" t="inlineStr">
        <is>
          <t>Voltalia Brasil</t>
        </is>
      </c>
      <c r="F41" s="6" t="inlineStr">
        <is>
          <t>M</t>
        </is>
      </c>
      <c r="G41" s="21" t="n">
        <v>192.1</v>
      </c>
      <c r="H41" s="10">
        <f>G41/Assumptions!$B$7</f>
        <v/>
      </c>
      <c r="I41" s="22">
        <f>G41*1000*Assumptions!$B$8/1000000</f>
        <v/>
      </c>
      <c r="J41" s="23" t="n">
        <v>135.8</v>
      </c>
      <c r="K41" s="10" t="n">
        <v>0.5859437170147609</v>
      </c>
      <c r="L41" s="8" t="n">
        <v>188</v>
      </c>
      <c r="M41" s="7" t="inlineStr">
        <is>
          <t>SANTA CLARA I ENERGIAS RENOVAVEIS LTDA; SANTA CLARA III ENERGIAS RENOVAVEIS LTDA; SANTA CLARA VI ENERGIAS RENOVAVEIS LTDA</t>
        </is>
      </c>
    </row>
    <row r="42">
      <c r="A42" s="4" t="n">
        <v>38</v>
      </c>
      <c r="B42" s="5" t="inlineStr">
        <is>
          <t>FUTURA</t>
        </is>
      </c>
      <c r="C42" s="4" t="inlineStr">
        <is>
          <t>BA</t>
        </is>
      </c>
      <c r="D42" s="4" t="inlineStr">
        <is>
          <t>Solar</t>
        </is>
      </c>
      <c r="E42" s="7" t="inlineStr">
        <is>
          <t>Solar BA SPEs</t>
        </is>
      </c>
      <c r="F42" s="6" t="inlineStr">
        <is>
          <t>M</t>
        </is>
      </c>
      <c r="G42" s="21" t="n">
        <v>189.4</v>
      </c>
      <c r="H42" s="10">
        <f>G42/Assumptions!$B$7</f>
        <v/>
      </c>
      <c r="I42" s="22">
        <f>G42*1000*Assumptions!$B$8/1000000</f>
        <v/>
      </c>
      <c r="J42" s="23" t="n">
        <v>312.6</v>
      </c>
      <c r="K42" s="10" t="n">
        <v>0.3772716845190775</v>
      </c>
      <c r="L42" s="8" t="n">
        <v>692</v>
      </c>
      <c r="M42" s="7" t="inlineStr">
        <is>
          <t>SPE FUTURA 4 GERACAO E COMERCIALIZACAO DE ENERGIA SOLAR S.A.; SPE FUTURA 1 GERACAO E COMERCIALIZACAO DE ENERGIA SOLAR S.A.; SPE FUTURA 2 GERACAO E COMERCIALIZACAO DE ENERGIA SOLAR S.A.</t>
        </is>
      </c>
    </row>
    <row r="43">
      <c r="A43" s="4" t="n">
        <v>39</v>
      </c>
      <c r="B43" s="5" t="inlineStr">
        <is>
          <t>BLOCO SUL</t>
        </is>
      </c>
      <c r="C43" s="4" t="inlineStr">
        <is>
          <t>RN</t>
        </is>
      </c>
      <c r="D43" s="4" t="inlineStr">
        <is>
          <t>Wind</t>
        </is>
      </c>
      <c r="E43" s="7" t="inlineStr">
        <is>
          <t>Casa dos Ventos</t>
        </is>
      </c>
      <c r="F43" s="6" t="inlineStr">
        <is>
          <t>M</t>
        </is>
      </c>
      <c r="G43" s="21" t="n">
        <v>181.9</v>
      </c>
      <c r="H43" s="10">
        <f>G43/Assumptions!$B$7</f>
        <v/>
      </c>
      <c r="I43" s="22">
        <f>G43*1000*Assumptions!$B$8/1000000</f>
        <v/>
      </c>
      <c r="J43" s="23" t="n">
        <v>132.2</v>
      </c>
      <c r="K43" s="10" t="n">
        <v>0.5791392818460562</v>
      </c>
      <c r="L43" s="8" t="n">
        <v>155</v>
      </c>
      <c r="M43" s="7" t="inlineStr">
        <is>
          <t>VENTOS DE SANTO DIMAS ENERGIAS RENOVAVEIS LTDA.; SAO BENEDITO ENERGIAS RENOVAVEIS LTDA; VENTOS DE SAO MARTINHO ENERGIAS RENOVAVEIS LTDA.</t>
        </is>
      </c>
    </row>
    <row r="44">
      <c r="A44" s="4" t="n">
        <v>40</v>
      </c>
      <c r="B44" s="5" t="inlineStr">
        <is>
          <t>FOLHA LARGA</t>
        </is>
      </c>
      <c r="C44" s="4" t="inlineStr">
        <is>
          <t>BA</t>
        </is>
      </c>
      <c r="D44" s="4" t="inlineStr">
        <is>
          <t>Wind</t>
        </is>
      </c>
      <c r="E44" s="7" t="inlineStr">
        <is>
          <t>Casa dos Ventos</t>
        </is>
      </c>
      <c r="F44" s="6" t="inlineStr">
        <is>
          <t>M</t>
        </is>
      </c>
      <c r="G44" s="21" t="n">
        <v>175.4</v>
      </c>
      <c r="H44" s="10">
        <f>G44/Assumptions!$B$7</f>
        <v/>
      </c>
      <c r="I44" s="22">
        <f>G44*1000*Assumptions!$B$8/1000000</f>
        <v/>
      </c>
      <c r="J44" s="23" t="n">
        <v>139.5</v>
      </c>
      <c r="K44" s="10" t="n">
        <v>0.5570008670828583</v>
      </c>
      <c r="L44" s="8" t="n">
        <v>344</v>
      </c>
      <c r="M44" s="7" t="inlineStr">
        <is>
          <t>PARQUE EOLICO VENTOS DE SAO JANUARIO 04 S.A; PARQUE EOLICO VENTOS DE SAO JANUARIO 05 S.A; PARQUE EOLICO VENTOS DE SAO JANUARIO 01 S.A</t>
        </is>
      </c>
    </row>
    <row r="45">
      <c r="A45" s="4" t="n">
        <v>41</v>
      </c>
      <c r="B45" s="5" t="inlineStr">
        <is>
          <t>MARANGATU</t>
        </is>
      </c>
      <c r="C45" s="4" t="inlineStr">
        <is>
          <t>PI</t>
        </is>
      </c>
      <c r="D45" s="4" t="inlineStr">
        <is>
          <t>Solar</t>
        </is>
      </c>
      <c r="E45" s="7" t="inlineStr">
        <is>
          <t>Voltalia Brasil</t>
        </is>
      </c>
      <c r="F45" s="6" t="inlineStr">
        <is>
          <t>M</t>
        </is>
      </c>
      <c r="G45" s="21" t="n">
        <v>172.6</v>
      </c>
      <c r="H45" s="10">
        <f>G45/Assumptions!$B$7</f>
        <v/>
      </c>
      <c r="I45" s="22">
        <f>G45*1000*Assumptions!$B$8/1000000</f>
        <v/>
      </c>
      <c r="J45" s="23" t="n">
        <v>216.3</v>
      </c>
      <c r="K45" s="10" t="n">
        <v>0.4439080434977645</v>
      </c>
      <c r="L45" s="8" t="n">
        <v>360</v>
      </c>
      <c r="M45" s="7" t="inlineStr">
        <is>
          <t>MARANGATU 4 ENERGIAS RENOVAVEIS S.A.; MARANGATU 5 ENERGIAS RENOVAVEIS S.A.; MARANGATU 6 ENERGIAS RENOVAVEIS S.A.</t>
        </is>
      </c>
    </row>
    <row r="46">
      <c r="A46" s="4" t="n">
        <v>42</v>
      </c>
      <c r="B46" s="5" t="inlineStr">
        <is>
          <t>PITOMBEIRA</t>
        </is>
      </c>
      <c r="C46" s="4" t="inlineStr">
        <is>
          <t>CE</t>
        </is>
      </c>
      <c r="D46" s="4" t="inlineStr">
        <is>
          <t>Solar</t>
        </is>
      </c>
      <c r="E46" s="7" t="inlineStr">
        <is>
          <t>ENERGIA DOS VENTOS II S.A (SPE only)</t>
        </is>
      </c>
      <c r="F46" s="14" t="inlineStr">
        <is>
          <t>L</t>
        </is>
      </c>
      <c r="G46" s="21" t="n">
        <v>169.8</v>
      </c>
      <c r="H46" s="10">
        <f>G46/Assumptions!$B$7</f>
        <v/>
      </c>
      <c r="I46" s="22">
        <f>G46*1000*Assumptions!$B$8/1000000</f>
        <v/>
      </c>
      <c r="J46" s="23" t="n">
        <v>105.1</v>
      </c>
      <c r="K46" s="10" t="n">
        <v>0.6177115707525466</v>
      </c>
      <c r="L46" s="8" t="n">
        <v>99</v>
      </c>
      <c r="M46" s="7" t="inlineStr">
        <is>
          <t>ENERGIA DOS VENTOS II S.A; ENERGIA DOS VENTOS I S.A; ENERGIA DOS VENTOS III S.A</t>
        </is>
      </c>
    </row>
    <row r="47">
      <c r="A47" s="4" t="n">
        <v>43</v>
      </c>
      <c r="B47" s="5" t="inlineStr">
        <is>
          <t>IGAPORA III</t>
        </is>
      </c>
      <c r="C47" s="4" t="inlineStr">
        <is>
          <t>BA</t>
        </is>
      </c>
      <c r="D47" s="4" t="inlineStr">
        <is>
          <t>Wind</t>
        </is>
      </c>
      <c r="E47" s="7" t="inlineStr">
        <is>
          <t>— unmapped —</t>
        </is>
      </c>
      <c r="F47" s="14" t="inlineStr">
        <is>
          <t>L</t>
        </is>
      </c>
      <c r="G47" s="21" t="n">
        <v>169.1</v>
      </c>
      <c r="H47" s="10">
        <f>G47/Assumptions!$B$7</f>
        <v/>
      </c>
      <c r="I47" s="22">
        <f>G47*1000*Assumptions!$B$8/1000000</f>
        <v/>
      </c>
      <c r="J47" s="23" t="n">
        <v>101.5</v>
      </c>
      <c r="K47" s="10" t="n">
        <v>0.6248630685857516</v>
      </c>
      <c r="L47" s="8" t="n">
        <v>0</v>
      </c>
      <c r="M47" s="7" t="inlineStr"/>
    </row>
    <row r="48">
      <c r="A48" s="4" t="n">
        <v>44</v>
      </c>
      <c r="B48" s="5" t="inlineStr">
        <is>
          <t>UNIAO DOS VENTOS</t>
        </is>
      </c>
      <c r="C48" s="4" t="inlineStr">
        <is>
          <t>RN</t>
        </is>
      </c>
      <c r="D48" s="4" t="inlineStr">
        <is>
          <t>Wind</t>
        </is>
      </c>
      <c r="E48" s="7" t="inlineStr">
        <is>
          <t>Casa dos Ventos</t>
        </is>
      </c>
      <c r="F48" s="6" t="inlineStr">
        <is>
          <t>M</t>
        </is>
      </c>
      <c r="G48" s="21" t="n">
        <v>167.7</v>
      </c>
      <c r="H48" s="10">
        <f>G48/Assumptions!$B$7</f>
        <v/>
      </c>
      <c r="I48" s="22">
        <f>G48*1000*Assumptions!$B$8/1000000</f>
        <v/>
      </c>
      <c r="J48" s="23" t="n">
        <v>183.6</v>
      </c>
      <c r="K48" s="10" t="n">
        <v>0.4773326358339395</v>
      </c>
      <c r="L48" s="8" t="n">
        <v>235</v>
      </c>
      <c r="M48" s="7" t="inlineStr">
        <is>
          <t>ENERGIA POTIGUAR GERADORA EOLICA S/A.; TORRES DE PEDRA GERADORA EOLICA S/A.; PONTA DO VENTO LESTE GERADORA EOLICA S/A.</t>
        </is>
      </c>
    </row>
    <row r="49">
      <c r="A49" s="4" t="n">
        <v>45</v>
      </c>
      <c r="B49" s="5" t="inlineStr">
        <is>
          <t>SANTO INACIO</t>
        </is>
      </c>
      <c r="C49" s="4" t="inlineStr">
        <is>
          <t>CE</t>
        </is>
      </c>
      <c r="D49" s="4" t="inlineStr">
        <is>
          <t>Wind</t>
        </is>
      </c>
      <c r="E49" s="7" t="inlineStr">
        <is>
          <t>Central Eólica SPEs (RN/CE)</t>
        </is>
      </c>
      <c r="F49" s="6" t="inlineStr">
        <is>
          <t>M</t>
        </is>
      </c>
      <c r="G49" s="21" t="n">
        <v>166.3</v>
      </c>
      <c r="H49" s="10">
        <f>G49/Assumptions!$B$7</f>
        <v/>
      </c>
      <c r="I49" s="22">
        <f>G49*1000*Assumptions!$B$8/1000000</f>
        <v/>
      </c>
      <c r="J49" s="23" t="n">
        <v>71.40000000000001</v>
      </c>
      <c r="K49" s="10" t="n">
        <v>0.6995251097161884</v>
      </c>
      <c r="L49" s="8" t="n">
        <v>170</v>
      </c>
      <c r="M49" s="7" t="inlineStr">
        <is>
          <t>CENTRAL EOLICA SANTO INACIO IV S.A.; CENTRAL EOLICA GARROTE S.A.; CENTRAL EOLICA SANTO INACIO III S.A.</t>
        </is>
      </c>
    </row>
    <row r="50">
      <c r="A50" s="4" t="n">
        <v>46</v>
      </c>
      <c r="B50" s="5" t="inlineStr">
        <is>
          <t>SAO ROQUE</t>
        </is>
      </c>
      <c r="C50" s="4" t="inlineStr">
        <is>
          <t>PI</t>
        </is>
      </c>
      <c r="D50" s="4" t="inlineStr">
        <is>
          <t>Wind</t>
        </is>
      </c>
      <c r="E50" s="7" t="inlineStr">
        <is>
          <t>Enel Green Power Brasil</t>
        </is>
      </c>
      <c r="F50" s="13" t="inlineStr">
        <is>
          <t>H</t>
        </is>
      </c>
      <c r="G50" s="21" t="n">
        <v>160.6</v>
      </c>
      <c r="H50" s="10">
        <f>G50/Assumptions!$B$7</f>
        <v/>
      </c>
      <c r="I50" s="22">
        <f>G50*1000*Assumptions!$B$8/1000000</f>
        <v/>
      </c>
      <c r="J50" s="23" t="n">
        <v>297.7</v>
      </c>
      <c r="K50" s="10" t="n">
        <v>0.3504132341776796</v>
      </c>
      <c r="L50" s="8" t="n">
        <v>795</v>
      </c>
      <c r="M50" s="7" t="inlineStr">
        <is>
          <t>ENEL GREEN POWER VENTOS DE SAO ROQUE 01 S.A.; ENEL GREEN POWER VENTOS DE SAO ROQUE 02 S.A.; ENEL GREEN POWER VENTOS DE SAO ROQUE 03 S.A</t>
        </is>
      </c>
    </row>
    <row r="51">
      <c r="A51" s="4" t="n">
        <v>47</v>
      </c>
      <c r="B51" s="5" t="inlineStr">
        <is>
          <t>CAETITE NORTE</t>
        </is>
      </c>
      <c r="C51" s="4" t="inlineStr">
        <is>
          <t>BA</t>
        </is>
      </c>
      <c r="D51" s="4" t="inlineStr">
        <is>
          <t>Wind</t>
        </is>
      </c>
      <c r="E51" s="7" t="inlineStr">
        <is>
          <t>Engie Brasil Energia</t>
        </is>
      </c>
      <c r="F51" s="13" t="inlineStr">
        <is>
          <t>H</t>
        </is>
      </c>
      <c r="G51" s="21" t="n">
        <v>160.2</v>
      </c>
      <c r="H51" s="10">
        <f>G51/Assumptions!$B$7</f>
        <v/>
      </c>
      <c r="I51" s="22">
        <f>G51*1000*Assumptions!$B$8/1000000</f>
        <v/>
      </c>
      <c r="J51" s="23" t="n">
        <v>114.5</v>
      </c>
      <c r="K51" s="10" t="n">
        <v>0.5831635041827656</v>
      </c>
      <c r="L51" s="8" t="n">
        <v>193</v>
      </c>
      <c r="M51" s="7" t="inlineStr">
        <is>
          <t>EOLICA CAETITE D S.A.; EOLICA CAETITE ECO S.A.; EOLICA CAETITE F S.A.</t>
        </is>
      </c>
    </row>
    <row r="52">
      <c r="A52" s="4" t="n">
        <v>48</v>
      </c>
      <c r="B52" s="5" t="inlineStr">
        <is>
          <t>OUROLANDIA II</t>
        </is>
      </c>
      <c r="C52" s="4" t="inlineStr">
        <is>
          <t>BA</t>
        </is>
      </c>
      <c r="D52" s="4" t="inlineStr">
        <is>
          <t>Wind</t>
        </is>
      </c>
      <c r="E52" s="7" t="inlineStr">
        <is>
          <t>Enel Green Power Brasil</t>
        </is>
      </c>
      <c r="F52" s="13" t="inlineStr">
        <is>
          <t>H</t>
        </is>
      </c>
      <c r="G52" s="21" t="n">
        <v>159.4</v>
      </c>
      <c r="H52" s="10">
        <f>G52/Assumptions!$B$7</f>
        <v/>
      </c>
      <c r="I52" s="22">
        <f>G52*1000*Assumptions!$B$8/1000000</f>
        <v/>
      </c>
      <c r="J52" s="23" t="n">
        <v>201.8</v>
      </c>
      <c r="K52" s="10" t="n">
        <v>0.4413710288660644</v>
      </c>
      <c r="L52" s="8" t="n">
        <v>542</v>
      </c>
      <c r="M52" s="7" t="inlineStr">
        <is>
          <t>Enel Green Power Aroeira 01 S.A.; Enel Green Power Aroeira 02 S.A.; Enel Green Power Aroeira 03 S.A.</t>
        </is>
      </c>
    </row>
    <row r="53">
      <c r="A53" s="4" t="n">
        <v>49</v>
      </c>
      <c r="B53" s="5" t="inlineStr">
        <is>
          <t>BANABUIU</t>
        </is>
      </c>
      <c r="C53" s="4" t="inlineStr">
        <is>
          <t>CE</t>
        </is>
      </c>
      <c r="D53" s="4" t="inlineStr">
        <is>
          <t>Solar</t>
        </is>
      </c>
      <c r="E53" s="7" t="inlineStr">
        <is>
          <t>Voltalia Brasil</t>
        </is>
      </c>
      <c r="F53" s="6" t="inlineStr">
        <is>
          <t>M</t>
        </is>
      </c>
      <c r="G53" s="21" t="n">
        <v>158.3</v>
      </c>
      <c r="H53" s="10">
        <f>G53/Assumptions!$B$7</f>
        <v/>
      </c>
      <c r="I53" s="22">
        <f>G53*1000*Assumptions!$B$8/1000000</f>
        <v/>
      </c>
      <c r="J53" s="23" t="n">
        <v>123</v>
      </c>
      <c r="K53" s="10" t="n">
        <v>0.5626069210467557</v>
      </c>
      <c r="L53" s="8" t="n">
        <v>230</v>
      </c>
      <c r="M53" s="7" t="inlineStr">
        <is>
          <t>PANATÍ 1 ENERGIAS RENOVÁVEIS S.A.; PANATÍ 2 ENERGIAS RENOVÁVEIS S.A.; Panatí 3 Energias Renováveis S.A.</t>
        </is>
      </c>
    </row>
    <row r="54">
      <c r="A54" s="4" t="n">
        <v>50</v>
      </c>
      <c r="B54" s="5" t="inlineStr">
        <is>
          <t>TRAIRI</t>
        </is>
      </c>
      <c r="C54" s="4" t="inlineStr">
        <is>
          <t>CE</t>
        </is>
      </c>
      <c r="D54" s="4" t="inlineStr">
        <is>
          <t>Wind</t>
        </is>
      </c>
      <c r="E54" s="7" t="inlineStr">
        <is>
          <t>Engie Brasil Energia</t>
        </is>
      </c>
      <c r="F54" s="13" t="inlineStr">
        <is>
          <t>H</t>
        </is>
      </c>
      <c r="G54" s="21" t="n">
        <v>156.6</v>
      </c>
      <c r="H54" s="10">
        <f>G54/Assumptions!$B$7</f>
        <v/>
      </c>
      <c r="I54" s="22">
        <f>G54*1000*Assumptions!$B$8/1000000</f>
        <v/>
      </c>
      <c r="J54" s="23" t="n">
        <v>211.9</v>
      </c>
      <c r="K54" s="10" t="n">
        <v>0.4249084513414868</v>
      </c>
      <c r="L54" s="8" t="n">
        <v>213</v>
      </c>
      <c r="M54" s="7" t="inlineStr">
        <is>
          <t>EOLICA MUNDAU LTDA; EOLICA TRAIRI LTDA; EOLICA GUAJIRU LTDA</t>
        </is>
      </c>
    </row>
    <row r="55">
      <c r="A55" s="4" t="n">
        <v>51</v>
      </c>
      <c r="B55" s="5" t="inlineStr">
        <is>
          <t>GENTIO DO OURO I</t>
        </is>
      </c>
      <c r="C55" s="4" t="inlineStr">
        <is>
          <t>BA</t>
        </is>
      </c>
      <c r="D55" s="4" t="inlineStr">
        <is>
          <t>Wind</t>
        </is>
      </c>
      <c r="E55" s="7" t="inlineStr">
        <is>
          <t>Serena Energia</t>
        </is>
      </c>
      <c r="F55" s="6" t="inlineStr">
        <is>
          <t>M</t>
        </is>
      </c>
      <c r="G55" s="21" t="n">
        <v>154.1</v>
      </c>
      <c r="H55" s="10">
        <f>G55/Assumptions!$B$7</f>
        <v/>
      </c>
      <c r="I55" s="22">
        <f>G55*1000*Assumptions!$B$8/1000000</f>
        <v/>
      </c>
      <c r="J55" s="23" t="n">
        <v>124.5</v>
      </c>
      <c r="K55" s="10" t="n">
        <v>0.5531698773851799</v>
      </c>
      <c r="L55" s="8" t="n">
        <v>303</v>
      </c>
      <c r="M55" s="7" t="inlineStr">
        <is>
          <t>ASSURUA 1 I ENERGIA S.A.; ASSURUA 1 II ENERGIA S.A.; ASSURUA 1 III ENERGIA S.A.</t>
        </is>
      </c>
    </row>
    <row r="56">
      <c r="A56" s="4" t="n">
        <v>52</v>
      </c>
      <c r="B56" s="5" t="inlineStr">
        <is>
          <t>MORRO DOS VENTOS</t>
        </is>
      </c>
      <c r="C56" s="4" t="inlineStr">
        <is>
          <t>RN</t>
        </is>
      </c>
      <c r="D56" s="4" t="inlineStr">
        <is>
          <t>Wind</t>
        </is>
      </c>
      <c r="E56" s="7" t="inlineStr">
        <is>
          <t>Serena Energia</t>
        </is>
      </c>
      <c r="F56" s="6" t="inlineStr">
        <is>
          <t>M</t>
        </is>
      </c>
      <c r="G56" s="21" t="n">
        <v>152.3</v>
      </c>
      <c r="H56" s="10">
        <f>G56/Assumptions!$B$7</f>
        <v/>
      </c>
      <c r="I56" s="22">
        <f>G56*1000*Assumptions!$B$8/1000000</f>
        <v/>
      </c>
      <c r="J56" s="23" t="n">
        <v>105.5</v>
      </c>
      <c r="K56" s="10" t="n">
        <v>0.5907021668868734</v>
      </c>
      <c r="L56" s="8" t="n">
        <v>173</v>
      </c>
      <c r="M56" s="7" t="inlineStr">
        <is>
          <t>DESA MORRO DOS VENTOS VI LTDA.; DESA MORRO DOS VENTOS I LTDA.; DESA MORRO DOS VENTOS IX LTDA.</t>
        </is>
      </c>
    </row>
    <row r="57">
      <c r="A57" s="4" t="n">
        <v>53</v>
      </c>
      <c r="B57" s="5" t="inlineStr">
        <is>
          <t>CURRAL NOVO DO PIAUI II</t>
        </is>
      </c>
      <c r="C57" s="4" t="inlineStr">
        <is>
          <t>PI</t>
        </is>
      </c>
      <c r="D57" s="4" t="inlineStr">
        <is>
          <t>Wind</t>
        </is>
      </c>
      <c r="E57" s="7" t="inlineStr">
        <is>
          <t>— unmapped —</t>
        </is>
      </c>
      <c r="F57" s="14" t="inlineStr">
        <is>
          <t>L</t>
        </is>
      </c>
      <c r="G57" s="21" t="n">
        <v>150.2</v>
      </c>
      <c r="H57" s="10">
        <f>G57/Assumptions!$B$7</f>
        <v/>
      </c>
      <c r="I57" s="22">
        <f>G57*1000*Assumptions!$B$8/1000000</f>
        <v/>
      </c>
      <c r="J57" s="23" t="n">
        <v>384.5</v>
      </c>
      <c r="K57" s="10" t="n">
        <v>0.2809644644369284</v>
      </c>
      <c r="L57" s="8" t="n">
        <v>0</v>
      </c>
      <c r="M57" s="7" t="inlineStr"/>
    </row>
    <row r="58">
      <c r="A58" s="4" t="n">
        <v>54</v>
      </c>
      <c r="B58" s="5" t="inlineStr">
        <is>
          <t>AMAZONAS</t>
        </is>
      </c>
      <c r="C58" s="4" t="inlineStr">
        <is>
          <t>RN</t>
        </is>
      </c>
      <c r="D58" s="4" t="inlineStr">
        <is>
          <t>Wind</t>
        </is>
      </c>
      <c r="E58" s="7" t="inlineStr">
        <is>
          <t>— unmapped —</t>
        </is>
      </c>
      <c r="F58" s="14" t="inlineStr">
        <is>
          <t>L</t>
        </is>
      </c>
      <c r="G58" s="21" t="n">
        <v>149.3</v>
      </c>
      <c r="H58" s="10">
        <f>G58/Assumptions!$B$7</f>
        <v/>
      </c>
      <c r="I58" s="22">
        <f>G58*1000*Assumptions!$B$8/1000000</f>
        <v/>
      </c>
      <c r="J58" s="23" t="n">
        <v>15.9</v>
      </c>
      <c r="K58" s="10" t="n">
        <v>0.903561766583785</v>
      </c>
      <c r="L58" s="8" t="n">
        <v>0</v>
      </c>
      <c r="M58" s="7" t="inlineStr"/>
    </row>
    <row r="59">
      <c r="A59" s="4" t="n">
        <v>55</v>
      </c>
      <c r="B59" s="5" t="inlineStr">
        <is>
          <t>TANQUE NOVO</t>
        </is>
      </c>
      <c r="C59" s="4" t="inlineStr">
        <is>
          <t>BA</t>
        </is>
      </c>
      <c r="D59" s="4" t="inlineStr">
        <is>
          <t>Wind</t>
        </is>
      </c>
      <c r="E59" s="7" t="inlineStr">
        <is>
          <t>Voltalia Brasil</t>
        </is>
      </c>
      <c r="F59" s="6" t="inlineStr">
        <is>
          <t>M</t>
        </is>
      </c>
      <c r="G59" s="21" t="n">
        <v>144.3</v>
      </c>
      <c r="H59" s="10">
        <f>G59/Assumptions!$B$7</f>
        <v/>
      </c>
      <c r="I59" s="22">
        <f>G59*1000*Assumptions!$B$8/1000000</f>
        <v/>
      </c>
      <c r="J59" s="23" t="n">
        <v>98.40000000000001</v>
      </c>
      <c r="K59" s="10" t="n">
        <v>0.5945896459688655</v>
      </c>
      <c r="L59" s="8" t="n">
        <v>180</v>
      </c>
      <c r="M59" s="7" t="inlineStr">
        <is>
          <t>TANQUE NOVO VI ENERGIAS RENOVAVEIS S.A.; TANQUE NOVO VII ENERGIAS RENOVAVEIS S.A.; TANQUE NOVO III ENERGIAS RENOVAVEIS S.A.</t>
        </is>
      </c>
    </row>
    <row r="60">
      <c r="A60" s="4" t="n">
        <v>56</v>
      </c>
      <c r="B60" s="5" t="inlineStr">
        <is>
          <t>RENASCENCA</t>
        </is>
      </c>
      <c r="C60" s="4" t="inlineStr">
        <is>
          <t>RN</t>
        </is>
      </c>
      <c r="D60" s="4" t="inlineStr">
        <is>
          <t>Wind</t>
        </is>
      </c>
      <c r="E60" s="7" t="inlineStr">
        <is>
          <t>GERACAO CENTRAL EOLICA VENTOS DE  SAO MI (SPE only)</t>
        </is>
      </c>
      <c r="F60" s="14" t="inlineStr">
        <is>
          <t>L</t>
        </is>
      </c>
      <c r="G60" s="21" t="n">
        <v>142.4</v>
      </c>
      <c r="H60" s="10">
        <f>G60/Assumptions!$B$7</f>
        <v/>
      </c>
      <c r="I60" s="22">
        <f>G60*1000*Assumptions!$B$8/1000000</f>
        <v/>
      </c>
      <c r="J60" s="23" t="n">
        <v>100.5</v>
      </c>
      <c r="K60" s="10" t="n">
        <v>0.5862505779622231</v>
      </c>
      <c r="L60" s="8" t="n">
        <v>150</v>
      </c>
      <c r="M60" s="7" t="inlineStr">
        <is>
          <t>GERACAO CENTRAL EOLICA VENTOS DE  SAO MIGUEL  S.A.; GERACAO CENTRAL EOLICA RENASCENCA I S.A.; GERACAO EOLICA RENASCENCA II S.A.</t>
        </is>
      </c>
    </row>
    <row r="61">
      <c r="A61" s="4" t="n">
        <v>57</v>
      </c>
      <c r="B61" s="5" t="inlineStr">
        <is>
          <t>RIBEIRO GONCALVES</t>
        </is>
      </c>
      <c r="C61" s="4" t="inlineStr">
        <is>
          <t>PI</t>
        </is>
      </c>
      <c r="D61" s="4" t="inlineStr">
        <is>
          <t>Solar</t>
        </is>
      </c>
      <c r="E61" s="7" t="inlineStr">
        <is>
          <t>Echoenergia (Equatorial)</t>
        </is>
      </c>
      <c r="F61" s="13" t="inlineStr">
        <is>
          <t>H</t>
        </is>
      </c>
      <c r="G61" s="21" t="n">
        <v>141.7</v>
      </c>
      <c r="H61" s="10">
        <f>G61/Assumptions!$B$7</f>
        <v/>
      </c>
      <c r="I61" s="22">
        <f>G61*1000*Assumptions!$B$8/1000000</f>
        <v/>
      </c>
      <c r="J61" s="23" t="n">
        <v>161.3</v>
      </c>
      <c r="K61" s="10" t="n">
        <v>0.467672289049553</v>
      </c>
      <c r="L61" s="8" t="n">
        <v>223</v>
      </c>
      <c r="M61" s="7" t="inlineStr">
        <is>
          <t>RIBEIRO GONCALVES SOLAR I S.A.; RIBEIRO GONCALVES SOLAR II S.A.; RIBEIRO GONCALVES SOLAR III S.A.</t>
        </is>
      </c>
    </row>
    <row r="62">
      <c r="A62" s="4" t="n">
        <v>58</v>
      </c>
      <c r="B62" s="5" t="inlineStr">
        <is>
          <t>BROTAS DE MACAUBAS</t>
        </is>
      </c>
      <c r="C62" s="4" t="inlineStr">
        <is>
          <t>BA</t>
        </is>
      </c>
      <c r="D62" s="4" t="inlineStr">
        <is>
          <t>Wind</t>
        </is>
      </c>
      <c r="E62" s="7" t="inlineStr">
        <is>
          <t>— unmapped —</t>
        </is>
      </c>
      <c r="F62" s="14" t="inlineStr">
        <is>
          <t>L</t>
        </is>
      </c>
      <c r="G62" s="21" t="n">
        <v>137.7</v>
      </c>
      <c r="H62" s="10">
        <f>G62/Assumptions!$B$7</f>
        <v/>
      </c>
      <c r="I62" s="22">
        <f>G62*1000*Assumptions!$B$8/1000000</f>
        <v/>
      </c>
      <c r="J62" s="23" t="n">
        <v>66.3</v>
      </c>
      <c r="K62" s="10" t="n">
        <v>0.6747833932087938</v>
      </c>
      <c r="L62" s="8" t="n">
        <v>0</v>
      </c>
      <c r="M62" s="7" t="inlineStr"/>
    </row>
    <row r="63">
      <c r="A63" s="4" t="n">
        <v>59</v>
      </c>
      <c r="B63" s="5" t="inlineStr">
        <is>
          <t>ALEX</t>
        </is>
      </c>
      <c r="C63" s="4" t="inlineStr">
        <is>
          <t>CE</t>
        </is>
      </c>
      <c r="D63" s="4" t="inlineStr">
        <is>
          <t>Solar</t>
        </is>
      </c>
      <c r="E63" s="7" t="inlineStr">
        <is>
          <t>Elera Renováveis (Brookfield)</t>
        </is>
      </c>
      <c r="F63" s="13" t="inlineStr">
        <is>
          <t>H</t>
        </is>
      </c>
      <c r="G63" s="21" t="n">
        <v>137.2</v>
      </c>
      <c r="H63" s="10">
        <f>G63/Assumptions!$B$7</f>
        <v/>
      </c>
      <c r="I63" s="22">
        <f>G63*1000*Assumptions!$B$8/1000000</f>
        <v/>
      </c>
      <c r="J63" s="23" t="n">
        <v>104.3</v>
      </c>
      <c r="K63" s="10" t="n">
        <v>0.5681658560955136</v>
      </c>
      <c r="L63" s="8" t="n">
        <v>278</v>
      </c>
      <c r="M63" s="7" t="inlineStr">
        <is>
          <t>ALEX I ENERGIA SPE S.A.; ALEX V ENERGIA SPE S.A.; ALEX VI ENERGIA SPE S.A.</t>
        </is>
      </c>
    </row>
    <row r="64">
      <c r="A64" s="4" t="n">
        <v>60</v>
      </c>
      <c r="B64" s="5" t="inlineStr">
        <is>
          <t>MORRAO</t>
        </is>
      </c>
      <c r="C64" s="4" t="inlineStr">
        <is>
          <t>BA</t>
        </is>
      </c>
      <c r="D64" s="4" t="inlineStr">
        <is>
          <t>Wind</t>
        </is>
      </c>
      <c r="E64" s="7" t="inlineStr">
        <is>
          <t>Engie Brasil Energia</t>
        </is>
      </c>
      <c r="F64" s="13" t="inlineStr">
        <is>
          <t>H</t>
        </is>
      </c>
      <c r="G64" s="21" t="n">
        <v>136.7</v>
      </c>
      <c r="H64" s="10">
        <f>G64/Assumptions!$B$7</f>
        <v/>
      </c>
      <c r="I64" s="22">
        <f>G64*1000*Assumptions!$B$8/1000000</f>
        <v/>
      </c>
      <c r="J64" s="23" t="n">
        <v>66.8</v>
      </c>
      <c r="K64" s="10" t="n">
        <v>0.6716996554677075</v>
      </c>
      <c r="L64" s="8" t="n">
        <v>118</v>
      </c>
      <c r="M64" s="7" t="inlineStr">
        <is>
          <t>CENTRAIS EOLICAS MORRAO S/A; CENTRAIS EOLICAS SERAIMA S.A; CENTRAIS EOLICAS DOURADOS S.A</t>
        </is>
      </c>
    </row>
    <row r="65">
      <c r="A65" s="4" t="n">
        <v>61</v>
      </c>
      <c r="B65" s="5" t="inlineStr">
        <is>
          <t>BARREIRAS II</t>
        </is>
      </c>
      <c r="C65" s="4" t="inlineStr">
        <is>
          <t>BA</t>
        </is>
      </c>
      <c r="D65" s="4" t="inlineStr">
        <is>
          <t>Solar</t>
        </is>
      </c>
      <c r="E65" s="7" t="inlineStr">
        <is>
          <t>— unmapped —</t>
        </is>
      </c>
      <c r="F65" s="14" t="inlineStr">
        <is>
          <t>L</t>
        </is>
      </c>
      <c r="G65" s="21" t="n">
        <v>136.3</v>
      </c>
      <c r="H65" s="10">
        <f>G65/Assumptions!$B$7</f>
        <v/>
      </c>
      <c r="I65" s="22">
        <f>G65*1000*Assumptions!$B$8/1000000</f>
        <v/>
      </c>
      <c r="J65" s="23" t="n">
        <v>208.8</v>
      </c>
      <c r="K65" s="10" t="n">
        <v>0.394888631365222</v>
      </c>
      <c r="L65" s="8" t="n">
        <v>0</v>
      </c>
      <c r="M65" s="7" t="inlineStr"/>
    </row>
    <row r="66">
      <c r="A66" s="4" t="n">
        <v>62</v>
      </c>
      <c r="B66" s="5" t="inlineStr">
        <is>
          <t>ASA BRANCA</t>
        </is>
      </c>
      <c r="C66" s="4" t="inlineStr">
        <is>
          <t>RN</t>
        </is>
      </c>
      <c r="D66" s="4" t="inlineStr">
        <is>
          <t>Wind</t>
        </is>
      </c>
      <c r="E66" s="7" t="inlineStr">
        <is>
          <t>Voltalia Brasil</t>
        </is>
      </c>
      <c r="F66" s="6" t="inlineStr">
        <is>
          <t>M</t>
        </is>
      </c>
      <c r="G66" s="21" t="n">
        <v>128.5</v>
      </c>
      <c r="H66" s="10">
        <f>G66/Assumptions!$B$7</f>
        <v/>
      </c>
      <c r="I66" s="22">
        <f>G66*1000*Assumptions!$B$8/1000000</f>
        <v/>
      </c>
      <c r="J66" s="23" t="n">
        <v>97.8</v>
      </c>
      <c r="K66" s="10" t="n">
        <v>0.5676793929961864</v>
      </c>
      <c r="L66" s="8" t="n">
        <v>160</v>
      </c>
      <c r="M66" s="7" t="inlineStr">
        <is>
          <t>ASA BRANCA IV ENERGIAS RENOVAVEIS S.A.; ASA BRANCA V ENERGIAS RENOVAVEIS S.A.; ASA BRANCA VIII ENERGIAS RENOVAVEIS S.A.</t>
        </is>
      </c>
    </row>
    <row r="67">
      <c r="A67" s="4" t="n">
        <v>63</v>
      </c>
      <c r="B67" s="5" t="inlineStr">
        <is>
          <t>VENTOS DE SAO VITOR</t>
        </is>
      </c>
      <c r="C67" s="4" t="inlineStr">
        <is>
          <t>BA</t>
        </is>
      </c>
      <c r="D67" s="4" t="inlineStr">
        <is>
          <t>Wind</t>
        </is>
      </c>
      <c r="E67" s="7" t="inlineStr">
        <is>
          <t>Casa dos Ventos</t>
        </is>
      </c>
      <c r="F67" s="6" t="inlineStr">
        <is>
          <t>M</t>
        </is>
      </c>
      <c r="G67" s="21" t="n">
        <v>127.8</v>
      </c>
      <c r="H67" s="10">
        <f>G67/Assumptions!$B$7</f>
        <v/>
      </c>
      <c r="I67" s="22">
        <f>G67*1000*Assumptions!$B$8/1000000</f>
        <v/>
      </c>
      <c r="J67" s="23" t="n">
        <v>139.7</v>
      </c>
      <c r="K67" s="10" t="n">
        <v>0.4776065555157783</v>
      </c>
      <c r="L67" s="8" t="n">
        <v>480</v>
      </c>
      <c r="M67" s="7" t="inlineStr">
        <is>
          <t>VENTOS DE SAO VITOR 03 ENERGIAS RENOVAVEIS S/A; VENTOS DE SAO VITOR 04 ENERGIAS RENOVAVEIS S/A; VENTOS DE SAO VITOR 10 ENERGIAS RENOVAVEIS S/A</t>
        </is>
      </c>
    </row>
    <row r="68">
      <c r="A68" s="4" t="n">
        <v>64</v>
      </c>
      <c r="B68" s="5" t="inlineStr">
        <is>
          <t>ITUVERAVA</t>
        </is>
      </c>
      <c r="C68" s="4" t="inlineStr">
        <is>
          <t>BA</t>
        </is>
      </c>
      <c r="D68" s="4" t="inlineStr">
        <is>
          <t>Solar</t>
        </is>
      </c>
      <c r="E68" s="7" t="inlineStr">
        <is>
          <t>Enel Green Power Brasil</t>
        </is>
      </c>
      <c r="F68" s="13" t="inlineStr">
        <is>
          <t>H</t>
        </is>
      </c>
      <c r="G68" s="21" t="n">
        <v>127.1</v>
      </c>
      <c r="H68" s="10">
        <f>G68/Assumptions!$B$7</f>
        <v/>
      </c>
      <c r="I68" s="22">
        <f>G68*1000*Assumptions!$B$8/1000000</f>
        <v/>
      </c>
      <c r="J68" s="23" t="n">
        <v>141.5</v>
      </c>
      <c r="K68" s="10" t="n">
        <v>0.4730675753498759</v>
      </c>
      <c r="L68" s="8" t="n">
        <v>196</v>
      </c>
      <c r="M68" s="7" t="inlineStr">
        <is>
          <t>ENEL GREEN POWER ITUVERAVA SUL SOLAR S A; ENEL GREEN POWER ITUVERAVA NORTE SOLAR S A; ENEL GREEN POWER ITUVERAVA SOLAR S A</t>
        </is>
      </c>
    </row>
    <row r="69">
      <c r="A69" s="4" t="n">
        <v>65</v>
      </c>
      <c r="B69" s="5" t="inlineStr">
        <is>
          <t>GILBUES II</t>
        </is>
      </c>
      <c r="C69" s="4" t="inlineStr">
        <is>
          <t>PI</t>
        </is>
      </c>
      <c r="D69" s="4" t="inlineStr">
        <is>
          <t>Solar</t>
        </is>
      </c>
      <c r="E69" s="7" t="inlineStr">
        <is>
          <t>— unmapped —</t>
        </is>
      </c>
      <c r="F69" s="14" t="inlineStr">
        <is>
          <t>L</t>
        </is>
      </c>
      <c r="G69" s="21" t="n">
        <v>126</v>
      </c>
      <c r="H69" s="10">
        <f>G69/Assumptions!$B$7</f>
        <v/>
      </c>
      <c r="I69" s="22">
        <f>G69*1000*Assumptions!$B$8/1000000</f>
        <v/>
      </c>
      <c r="J69" s="23" t="n">
        <v>249.3</v>
      </c>
      <c r="K69" s="10" t="n">
        <v>0.3357830380142114</v>
      </c>
      <c r="L69" s="8" t="n">
        <v>0</v>
      </c>
      <c r="M69" s="7" t="inlineStr"/>
    </row>
    <row r="70">
      <c r="A70" s="4" t="n">
        <v>66</v>
      </c>
      <c r="B70" s="5" t="inlineStr">
        <is>
          <t>CIRANDA</t>
        </is>
      </c>
      <c r="C70" s="4" t="inlineStr">
        <is>
          <t>PE</t>
        </is>
      </c>
      <c r="D70" s="4" t="inlineStr">
        <is>
          <t>Solar</t>
        </is>
      </c>
      <c r="E70" s="7" t="inlineStr">
        <is>
          <t>Voltalia Brasil</t>
        </is>
      </c>
      <c r="F70" s="6" t="inlineStr">
        <is>
          <t>M</t>
        </is>
      </c>
      <c r="G70" s="21" t="n">
        <v>124.7</v>
      </c>
      <c r="H70" s="10">
        <f>G70/Assumptions!$B$7</f>
        <v/>
      </c>
      <c r="I70" s="22">
        <f>G70*1000*Assumptions!$B$8/1000000</f>
        <v/>
      </c>
      <c r="J70" s="23" t="n">
        <v>151.2</v>
      </c>
      <c r="K70" s="10" t="n">
        <v>0.4519218231207385</v>
      </c>
      <c r="L70" s="8" t="n">
        <v>244</v>
      </c>
      <c r="M70" s="7" t="inlineStr">
        <is>
          <t>CIRANDA 4 ENERGIAS RENOVAVEIS S.A.; CIRANDA 5 ENERGIAS RENOVAVEIS S.A; CIRANDA 6 ENERGIAS RENOVAVEIS S.A.</t>
        </is>
      </c>
    </row>
    <row r="71">
      <c r="A71" s="4" t="n">
        <v>67</v>
      </c>
      <c r="B71" s="5" t="inlineStr">
        <is>
          <t>AVENTURA</t>
        </is>
      </c>
      <c r="C71" s="4" t="inlineStr">
        <is>
          <t>RN</t>
        </is>
      </c>
      <c r="D71" s="4" t="inlineStr">
        <is>
          <t>Wind</t>
        </is>
      </c>
      <c r="E71" s="7" t="inlineStr">
        <is>
          <t>Central Eólica SPEs (RN/CE)</t>
        </is>
      </c>
      <c r="F71" s="6" t="inlineStr">
        <is>
          <t>M</t>
        </is>
      </c>
      <c r="G71" s="21" t="n">
        <v>124.3</v>
      </c>
      <c r="H71" s="10">
        <f>G71/Assumptions!$B$7</f>
        <v/>
      </c>
      <c r="I71" s="22">
        <f>G71*1000*Assumptions!$B$8/1000000</f>
        <v/>
      </c>
      <c r="J71" s="23" t="n">
        <v>67.40000000000001</v>
      </c>
      <c r="K71" s="10" t="n">
        <v>0.6484904132590306</v>
      </c>
      <c r="L71" s="8" t="n">
        <v>105</v>
      </c>
      <c r="M71" s="7" t="inlineStr">
        <is>
          <t>CENTRAL EOLICA AVENTURA II S/A; CENTRAL EOLICA AVENTURA III S.A.; CENTRAL EOLICA AVENTURA IV S.A.</t>
        </is>
      </c>
    </row>
    <row r="72">
      <c r="A72" s="4" t="n">
        <v>68</v>
      </c>
      <c r="B72" s="5" t="inlineStr">
        <is>
          <t>OITIS</t>
        </is>
      </c>
      <c r="C72" s="4" t="inlineStr">
        <is>
          <t>PI</t>
        </is>
      </c>
      <c r="D72" s="4" t="inlineStr">
        <is>
          <t>Wind</t>
        </is>
      </c>
      <c r="E72" s="7" t="inlineStr">
        <is>
          <t>Casa dos Ventos</t>
        </is>
      </c>
      <c r="F72" s="6" t="inlineStr">
        <is>
          <t>M</t>
        </is>
      </c>
      <c r="G72" s="21" t="n">
        <v>123.8</v>
      </c>
      <c r="H72" s="10">
        <f>G72/Assumptions!$B$7</f>
        <v/>
      </c>
      <c r="I72" s="22">
        <f>G72*1000*Assumptions!$B$8/1000000</f>
        <v/>
      </c>
      <c r="J72" s="23" t="n">
        <v>201.7</v>
      </c>
      <c r="K72" s="10" t="n">
        <v>0.3803368059051059</v>
      </c>
      <c r="L72" s="8" t="n">
        <v>566</v>
      </c>
      <c r="M72" s="7" t="inlineStr">
        <is>
          <t>OITIS 21 ENERGIA RENOVÁVEL S.A.; OITIS 22 ENERGIA RENOVÁVEL S.A.; OITIS 10 ENERGIA RENOVÁVEL S.A.</t>
        </is>
      </c>
    </row>
    <row r="73">
      <c r="A73" s="4" t="n">
        <v>69</v>
      </c>
      <c r="B73" s="5" t="inlineStr">
        <is>
          <t>CAMPO LARGO 2</t>
        </is>
      </c>
      <c r="C73" s="4" t="inlineStr">
        <is>
          <t>BA</t>
        </is>
      </c>
      <c r="D73" s="4" t="inlineStr">
        <is>
          <t>Wind</t>
        </is>
      </c>
      <c r="E73" s="7" t="inlineStr">
        <is>
          <t>— unmapped —</t>
        </is>
      </c>
      <c r="F73" s="14" t="inlineStr">
        <is>
          <t>L</t>
        </is>
      </c>
      <c r="G73" s="21" t="n">
        <v>118.7</v>
      </c>
      <c r="H73" s="10">
        <f>G73/Assumptions!$B$7</f>
        <v/>
      </c>
      <c r="I73" s="22">
        <f>G73*1000*Assumptions!$B$8/1000000</f>
        <v/>
      </c>
      <c r="J73" s="23" t="n">
        <v>54.4</v>
      </c>
      <c r="K73" s="10" t="n">
        <v>0.6858008049624343</v>
      </c>
      <c r="L73" s="8" t="n">
        <v>0</v>
      </c>
      <c r="M73" s="7" t="inlineStr"/>
    </row>
    <row r="74">
      <c r="A74" s="4" t="n">
        <v>70</v>
      </c>
      <c r="B74" s="5" t="inlineStr">
        <is>
          <t>HELIO VALGAS</t>
        </is>
      </c>
      <c r="C74" s="4" t="inlineStr">
        <is>
          <t>MG</t>
        </is>
      </c>
      <c r="D74" s="4" t="inlineStr">
        <is>
          <t>Solar</t>
        </is>
      </c>
      <c r="E74" s="7" t="inlineStr">
        <is>
          <t>Solar MG SPEs</t>
        </is>
      </c>
      <c r="F74" s="6" t="inlineStr">
        <is>
          <t>M</t>
        </is>
      </c>
      <c r="G74" s="21" t="n">
        <v>115.6</v>
      </c>
      <c r="H74" s="10">
        <f>G74/Assumptions!$B$7</f>
        <v/>
      </c>
      <c r="I74" s="22">
        <f>G74*1000*Assumptions!$B$8/1000000</f>
        <v/>
      </c>
      <c r="J74" s="23" t="n">
        <v>306.8</v>
      </c>
      <c r="K74" s="10" t="n">
        <v>0.2736071045195167</v>
      </c>
      <c r="L74" s="8" t="n">
        <v>500</v>
      </c>
      <c r="M74" s="7" t="inlineStr">
        <is>
          <t>GERADORA SOLAR HELIO VALGAS I S.A.; GERADORA SOLAR HELIO VALGAS II S.A.; GERADORA SOLAR HELIO VALGAS III S.A.</t>
        </is>
      </c>
    </row>
    <row r="75">
      <c r="A75" s="4" t="n">
        <v>71</v>
      </c>
      <c r="B75" s="5" t="inlineStr">
        <is>
          <t>BABILONIA SUL</t>
        </is>
      </c>
      <c r="C75" s="4" t="inlineStr">
        <is>
          <t>BA</t>
        </is>
      </c>
      <c r="D75" s="4" t="inlineStr">
        <is>
          <t>Wind</t>
        </is>
      </c>
      <c r="E75" s="7" t="inlineStr">
        <is>
          <t>Casa dos Ventos</t>
        </is>
      </c>
      <c r="F75" s="6" t="inlineStr">
        <is>
          <t>M</t>
        </is>
      </c>
      <c r="G75" s="21" t="n">
        <v>114.2</v>
      </c>
      <c r="H75" s="10">
        <f>G75/Assumptions!$B$7</f>
        <v/>
      </c>
      <c r="I75" s="22">
        <f>G75*1000*Assumptions!$B$8/1000000</f>
        <v/>
      </c>
      <c r="J75" s="23" t="n">
        <v>128.4</v>
      </c>
      <c r="K75" s="10" t="n">
        <v>0.470606371823035</v>
      </c>
      <c r="L75" s="8" t="n">
        <v>460</v>
      </c>
      <c r="M75" s="7" t="inlineStr">
        <is>
          <t>Ventos de Santa Jacinta Energias Renováveis S.A.; Ventos de São Joaquim Energias Renováveis S.A.; Ventos de São Júlio I Energias Renováveis S.A.</t>
        </is>
      </c>
    </row>
    <row r="76">
      <c r="A76" s="4" t="n">
        <v>72</v>
      </c>
      <c r="B76" s="5" t="inlineStr">
        <is>
          <t>SANTA ROSALIA</t>
        </is>
      </c>
      <c r="C76" s="4" t="inlineStr">
        <is>
          <t>CE</t>
        </is>
      </c>
      <c r="D76" s="4" t="inlineStr">
        <is>
          <t>Wind</t>
        </is>
      </c>
      <c r="E76" s="7" t="inlineStr">
        <is>
          <t>NOVA VENTOS DO MORRO DO CHAPEU ENERGIAS  (SPE only)</t>
        </is>
      </c>
      <c r="F76" s="14" t="inlineStr">
        <is>
          <t>L</t>
        </is>
      </c>
      <c r="G76" s="21" t="n">
        <v>113.5</v>
      </c>
      <c r="H76" s="10">
        <f>G76/Assumptions!$B$7</f>
        <v/>
      </c>
      <c r="I76" s="22">
        <f>G76*1000*Assumptions!$B$8/1000000</f>
        <v/>
      </c>
      <c r="J76" s="23" t="n">
        <v>62.8</v>
      </c>
      <c r="K76" s="10" t="n">
        <v>0.6438645318336499</v>
      </c>
      <c r="L76" s="8" t="n">
        <v>141</v>
      </c>
      <c r="M76" s="7" t="inlineStr">
        <is>
          <t>NOVA VENTOS DO MORRO DO CHAPEU ENERGIAS RENOVAVEIS S.A; NOVA VENTOS DE TIANGUA NORTE ENERGIAS RENOVAVEIS S.A; NOVA VENTOS DE TIANGUA ENERGIAS RENOVAVEIS S.A</t>
        </is>
      </c>
    </row>
    <row r="77">
      <c r="A77" s="4" t="n">
        <v>73</v>
      </c>
      <c r="B77" s="5" t="inlineStr">
        <is>
          <t>OLHO D'AGUA</t>
        </is>
      </c>
      <c r="C77" s="4" t="inlineStr">
        <is>
          <t>RN</t>
        </is>
      </c>
      <c r="D77" s="4" t="inlineStr">
        <is>
          <t>Wind</t>
        </is>
      </c>
      <c r="E77" s="7" t="inlineStr">
        <is>
          <t>GE FAROL S/A (SPE only)</t>
        </is>
      </c>
      <c r="F77" s="14" t="inlineStr">
        <is>
          <t>L</t>
        </is>
      </c>
      <c r="G77" s="21" t="n">
        <v>113.1</v>
      </c>
      <c r="H77" s="10">
        <f>G77/Assumptions!$B$7</f>
        <v/>
      </c>
      <c r="I77" s="22">
        <f>G77*1000*Assumptions!$B$8/1000000</f>
        <v/>
      </c>
      <c r="J77" s="23" t="n">
        <v>99.3</v>
      </c>
      <c r="K77" s="10" t="n">
        <v>0.5322959960312652</v>
      </c>
      <c r="L77" s="8" t="n">
        <v>94</v>
      </c>
      <c r="M77" s="7" t="inlineStr">
        <is>
          <t>GE FAROL S/A; GE BOA VISTA S/A; GE SAO BENTO DO NORTE S/A</t>
        </is>
      </c>
    </row>
    <row r="78">
      <c r="A78" s="4" t="n">
        <v>74</v>
      </c>
      <c r="B78" s="5" t="inlineStr">
        <is>
          <t>SERROTE A</t>
        </is>
      </c>
      <c r="C78" s="4" t="inlineStr">
        <is>
          <t>CE</t>
        </is>
      </c>
      <c r="D78" s="4" t="inlineStr">
        <is>
          <t>Wind</t>
        </is>
      </c>
      <c r="E78" s="7" t="inlineStr">
        <is>
          <t>SERROTE I GERACAO DE ENERGIA ELETRICA S. (SPE only)</t>
        </is>
      </c>
      <c r="F78" s="14" t="inlineStr">
        <is>
          <t>L</t>
        </is>
      </c>
      <c r="G78" s="21" t="n">
        <v>113</v>
      </c>
      <c r="H78" s="10">
        <f>G78/Assumptions!$B$7</f>
        <v/>
      </c>
      <c r="I78" s="22">
        <f>G78*1000*Assumptions!$B$8/1000000</f>
        <v/>
      </c>
      <c r="J78" s="23" t="n">
        <v>165.3</v>
      </c>
      <c r="K78" s="10" t="n">
        <v>0.4059689683047853</v>
      </c>
      <c r="L78" s="8" t="n">
        <v>206</v>
      </c>
      <c r="M78" s="7" t="inlineStr">
        <is>
          <t>SERROTE I GERACAO DE ENERGIA ELETRICA S.A; SERROTE II GERACAO DE ENERGIA ELETRICA S.A; SERROTE III GERACAO DE ENERGIA ELETRICA S.A</t>
        </is>
      </c>
    </row>
    <row r="79">
      <c r="A79" s="4" t="n">
        <v>75</v>
      </c>
      <c r="B79" s="5" t="inlineStr">
        <is>
          <t>CABECO PRETO II</t>
        </is>
      </c>
      <c r="C79" s="4" t="inlineStr">
        <is>
          <t>RN</t>
        </is>
      </c>
      <c r="D79" s="4" t="inlineStr">
        <is>
          <t>Wind</t>
        </is>
      </c>
      <c r="E79" s="7" t="inlineStr">
        <is>
          <t>GESTAMP EÓLICA JARDINS S.A. (SPE only)</t>
        </is>
      </c>
      <c r="F79" s="14" t="inlineStr">
        <is>
          <t>L</t>
        </is>
      </c>
      <c r="G79" s="21" t="n">
        <v>110.9</v>
      </c>
      <c r="H79" s="10">
        <f>G79/Assumptions!$B$7</f>
        <v/>
      </c>
      <c r="I79" s="22">
        <f>G79*1000*Assumptions!$B$8/1000000</f>
        <v/>
      </c>
      <c r="J79" s="23" t="n">
        <v>73.40000000000001</v>
      </c>
      <c r="K79" s="10" t="n">
        <v>0.6017881359197125</v>
      </c>
      <c r="L79" s="8" t="n">
        <v>146</v>
      </c>
      <c r="M79" s="7" t="inlineStr">
        <is>
          <t>Gestamp Eólica Jardins S.A.; ELAWAN EOLICA ALVORADA S.A.; ELAWAN EOLICA AGRESTE S.A.</t>
        </is>
      </c>
    </row>
    <row r="80">
      <c r="A80" s="4" t="n">
        <v>76</v>
      </c>
      <c r="B80" s="5" t="inlineStr">
        <is>
          <t>VENTOS DA BAHIA</t>
        </is>
      </c>
      <c r="C80" s="4" t="inlineStr">
        <is>
          <t>BA</t>
        </is>
      </c>
      <c r="D80" s="4" t="inlineStr">
        <is>
          <t>Wind</t>
        </is>
      </c>
      <c r="E80" s="7" t="inlineStr">
        <is>
          <t>PARQUE EOLICO VENTOS DA BAHIA I S.A. (SPE only)</t>
        </is>
      </c>
      <c r="F80" s="14" t="inlineStr">
        <is>
          <t>L</t>
        </is>
      </c>
      <c r="G80" s="21" t="n">
        <v>110.2</v>
      </c>
      <c r="H80" s="10">
        <f>G80/Assumptions!$B$7</f>
        <v/>
      </c>
      <c r="I80" s="22">
        <f>G80*1000*Assumptions!$B$8/1000000</f>
        <v/>
      </c>
      <c r="J80" s="23" t="n">
        <v>110.1</v>
      </c>
      <c r="K80" s="10" t="n">
        <v>0.5002961290873085</v>
      </c>
      <c r="L80" s="8" t="n">
        <v>298</v>
      </c>
      <c r="M80" s="7" t="inlineStr">
        <is>
          <t>PARQUE EOLICO VENTOS DA BAHIA I S.A.; PARQUE EOLICO VENTOS DA BAHIA III S.A.; PARQUE EOLICO VENTOS DA BAHIA IX S.A.</t>
        </is>
      </c>
    </row>
    <row r="81">
      <c r="A81" s="4" t="n">
        <v>77</v>
      </c>
      <c r="B81" s="5" t="inlineStr">
        <is>
          <t>JANDAIRA I</t>
        </is>
      </c>
      <c r="C81" s="4" t="inlineStr">
        <is>
          <t>RN</t>
        </is>
      </c>
      <c r="D81" s="4" t="inlineStr">
        <is>
          <t>Wind</t>
        </is>
      </c>
      <c r="E81" s="7" t="inlineStr">
        <is>
          <t>JANDAIRA I ENERGIAS RENOVAVEIS S.A. (SPE only)</t>
        </is>
      </c>
      <c r="F81" s="14" t="inlineStr">
        <is>
          <t>L</t>
        </is>
      </c>
      <c r="G81" s="21" t="n">
        <v>110.1</v>
      </c>
      <c r="H81" s="10">
        <f>G81/Assumptions!$B$7</f>
        <v/>
      </c>
      <c r="I81" s="22">
        <f>G81*1000*Assumptions!$B$8/1000000</f>
        <v/>
      </c>
      <c r="J81" s="23" t="n">
        <v>60</v>
      </c>
      <c r="K81" s="10" t="n">
        <v>0.6473712353941056</v>
      </c>
      <c r="L81" s="8" t="n">
        <v>90</v>
      </c>
      <c r="M81" s="7" t="inlineStr">
        <is>
          <t>JANDAIRA I ENERGIAS RENOVAVEIS S.A.; JANDAIRA II ENERGIAS RENOVAVEIS S.A.; JANDAIRA III ENERGIAS RENOVAVEIS S.A.</t>
        </is>
      </c>
    </row>
    <row r="82">
      <c r="A82" s="4" t="n">
        <v>78</v>
      </c>
      <c r="B82" s="5" t="inlineStr">
        <is>
          <t>CAMPO DOS VENTOS</t>
        </is>
      </c>
      <c r="C82" s="4" t="inlineStr">
        <is>
          <t>RN</t>
        </is>
      </c>
      <c r="D82" s="4" t="inlineStr">
        <is>
          <t>Wind</t>
        </is>
      </c>
      <c r="E82" s="7" t="inlineStr">
        <is>
          <t>CAMPOS DOS VENTOS II ENERGIAS RENOVAVEIS (SPE only)</t>
        </is>
      </c>
      <c r="F82" s="14" t="inlineStr">
        <is>
          <t>L</t>
        </is>
      </c>
      <c r="G82" s="21" t="n">
        <v>109.7</v>
      </c>
      <c r="H82" s="10">
        <f>G82/Assumptions!$B$7</f>
        <v/>
      </c>
      <c r="I82" s="22">
        <f>G82*1000*Assumptions!$B$8/1000000</f>
        <v/>
      </c>
      <c r="J82" s="23" t="n">
        <v>81.2</v>
      </c>
      <c r="K82" s="10" t="n">
        <v>0.5746440090557257</v>
      </c>
      <c r="L82" s="8" t="n">
        <v>106</v>
      </c>
      <c r="M82" s="7" t="inlineStr">
        <is>
          <t>CAMPOS DOS VENTOS II ENERGIAS RENOVAVEIS LTDA.; CAMPOS DOS VENTOS V ENERGIAS RENOVAVEIS LTDA.; CAMPOS DOS VENTOS III ENERGIAS RENOVAVEIS LTDA.</t>
        </is>
      </c>
    </row>
    <row r="83">
      <c r="A83" s="4" t="n">
        <v>79</v>
      </c>
      <c r="B83" s="5" t="inlineStr">
        <is>
          <t>RIACHAO</t>
        </is>
      </c>
      <c r="C83" s="4" t="inlineStr">
        <is>
          <t>RN</t>
        </is>
      </c>
      <c r="D83" s="4" t="inlineStr">
        <is>
          <t>Wind</t>
        </is>
      </c>
      <c r="E83" s="7" t="inlineStr">
        <is>
          <t>CENTRAL GERADORA EOLICA ACARI S.A. (SPE only)</t>
        </is>
      </c>
      <c r="F83" s="14" t="inlineStr">
        <is>
          <t>L</t>
        </is>
      </c>
      <c r="G83" s="21" t="n">
        <v>108.8</v>
      </c>
      <c r="H83" s="10">
        <f>G83/Assumptions!$B$7</f>
        <v/>
      </c>
      <c r="I83" s="22">
        <f>G83*1000*Assumptions!$B$8/1000000</f>
        <v/>
      </c>
      <c r="J83" s="23" t="n">
        <v>119.8</v>
      </c>
      <c r="K83" s="10" t="n">
        <v>0.4758634342732012</v>
      </c>
      <c r="L83" s="8" t="n">
        <v>146</v>
      </c>
      <c r="M83" s="7" t="inlineStr">
        <is>
          <t>Central Geradora Eolica Acari S.A.; CENTRAL GERADORA EOLICA ALBUQUERQUE S.A; CENTRAL GERADORA EOLICA APELIOTES S.A</t>
        </is>
      </c>
    </row>
    <row r="84">
      <c r="A84" s="4" t="n">
        <v>80</v>
      </c>
      <c r="B84" s="5" t="inlineStr">
        <is>
          <t>JANDAIA</t>
        </is>
      </c>
      <c r="C84" s="4" t="inlineStr">
        <is>
          <t>CE</t>
        </is>
      </c>
      <c r="D84" s="4" t="inlineStr">
        <is>
          <t>Wind</t>
        </is>
      </c>
      <c r="E84" s="7" t="inlineStr">
        <is>
          <t>ENERGIA DOS VENTOS IX S.A (SPE only)</t>
        </is>
      </c>
      <c r="F84" s="14" t="inlineStr">
        <is>
          <t>L</t>
        </is>
      </c>
      <c r="G84" s="21" t="n">
        <v>106.3</v>
      </c>
      <c r="H84" s="10">
        <f>G84/Assumptions!$B$7</f>
        <v/>
      </c>
      <c r="I84" s="22">
        <f>G84*1000*Assumptions!$B$8/1000000</f>
        <v/>
      </c>
      <c r="J84" s="23" t="n">
        <v>35.6</v>
      </c>
      <c r="K84" s="10" t="n">
        <v>0.7492743544459867</v>
      </c>
      <c r="L84" s="8" t="n">
        <v>123</v>
      </c>
      <c r="M84" s="7" t="inlineStr">
        <is>
          <t>ENERGIA DOS VENTOS IX S.A; ENERGIA DOS VENTOS V S.A; ENERGIA DOS VENTOS VIII S.A</t>
        </is>
      </c>
    </row>
    <row r="85">
      <c r="A85" s="4" t="n">
        <v>81</v>
      </c>
      <c r="B85" s="5" t="inlineStr">
        <is>
          <t>MANGUE SECO</t>
        </is>
      </c>
      <c r="C85" s="4" t="inlineStr">
        <is>
          <t>RN</t>
        </is>
      </c>
      <c r="D85" s="4" t="inlineStr">
        <is>
          <t>Wind</t>
        </is>
      </c>
      <c r="E85" s="7" t="inlineStr">
        <is>
          <t>— unmapped —</t>
        </is>
      </c>
      <c r="F85" s="14" t="inlineStr">
        <is>
          <t>L</t>
        </is>
      </c>
      <c r="G85" s="21" t="n">
        <v>105.1</v>
      </c>
      <c r="H85" s="10">
        <f>G85/Assumptions!$B$7</f>
        <v/>
      </c>
      <c r="I85" s="22">
        <f>G85*1000*Assumptions!$B$8/1000000</f>
        <v/>
      </c>
      <c r="J85" s="23" t="n">
        <v>66</v>
      </c>
      <c r="K85" s="10" t="n">
        <v>0.6142899147240891</v>
      </c>
      <c r="L85" s="8" t="n">
        <v>104</v>
      </c>
      <c r="M85" s="7" t="inlineStr"/>
    </row>
    <row r="86">
      <c r="A86" s="4" t="n">
        <v>82</v>
      </c>
      <c r="B86" s="5" t="inlineStr">
        <is>
          <t>TERRA SANTA</t>
        </is>
      </c>
      <c r="C86" s="4" t="inlineStr">
        <is>
          <t>RN</t>
        </is>
      </c>
      <c r="D86" s="4" t="inlineStr">
        <is>
          <t>Wind</t>
        </is>
      </c>
      <c r="E86" s="7" t="inlineStr">
        <is>
          <t>CENTRAL EOLICA TERRA SANTA SPE I S.A (SPE only)</t>
        </is>
      </c>
      <c r="F86" s="14" t="inlineStr">
        <is>
          <t>L</t>
        </is>
      </c>
      <c r="G86" s="21" t="n">
        <v>102.2</v>
      </c>
      <c r="H86" s="10">
        <f>G86/Assumptions!$B$7</f>
        <v/>
      </c>
      <c r="I86" s="22">
        <f>G86*1000*Assumptions!$B$8/1000000</f>
        <v/>
      </c>
      <c r="J86" s="23" t="n">
        <v>65</v>
      </c>
      <c r="K86" s="10" t="n">
        <v>0.6112507829926631</v>
      </c>
      <c r="L86" s="8" t="n">
        <v>92</v>
      </c>
      <c r="M86" s="7" t="inlineStr">
        <is>
          <t>CENTRAL EOLICA TERRA SANTA SPE I S.A; CENTRAL EOLICA TERRA SANTA SPE II S.A</t>
        </is>
      </c>
    </row>
    <row r="87">
      <c r="A87" s="4" t="n">
        <v>83</v>
      </c>
      <c r="B87" s="5" t="inlineStr">
        <is>
          <t>CAMPO FORMOSO</t>
        </is>
      </c>
      <c r="C87" s="4" t="inlineStr">
        <is>
          <t>BA</t>
        </is>
      </c>
      <c r="D87" s="4" t="inlineStr">
        <is>
          <t>Wind</t>
        </is>
      </c>
      <c r="E87" s="7" t="inlineStr">
        <is>
          <t>CAMPO FORMOSO I ENERGIAS RENOVAVEIS S.A. (SPE only)</t>
        </is>
      </c>
      <c r="F87" s="14" t="inlineStr">
        <is>
          <t>L</t>
        </is>
      </c>
      <c r="G87" s="21" t="n">
        <v>101.3</v>
      </c>
      <c r="H87" s="10">
        <f>G87/Assumptions!$B$7</f>
        <v/>
      </c>
      <c r="I87" s="22">
        <f>G87*1000*Assumptions!$B$8/1000000</f>
        <v/>
      </c>
      <c r="J87" s="23" t="n">
        <v>83.8</v>
      </c>
      <c r="K87" s="10" t="n">
        <v>0.5472786073591237</v>
      </c>
      <c r="L87" s="8" t="n">
        <v>180</v>
      </c>
      <c r="M87" s="7" t="inlineStr">
        <is>
          <t>CAMPO FORMOSO I ENERGIAS RENOVAVEIS S.A.; ANDORINHA ENERGIAS RENOVAVEIS S.A.; MORRINHOS ENERGIAS RENOVAVEIS S.A.</t>
        </is>
      </c>
    </row>
    <row r="88">
      <c r="A88" s="4" t="n">
        <v>84</v>
      </c>
      <c r="B88" s="5" t="inlineStr">
        <is>
          <t>LAR DO SOL</t>
        </is>
      </c>
      <c r="C88" s="4" t="inlineStr">
        <is>
          <t>MG</t>
        </is>
      </c>
      <c r="D88" s="4" t="inlineStr">
        <is>
          <t>Solar</t>
        </is>
      </c>
      <c r="E88" s="7" t="inlineStr">
        <is>
          <t>USINA DE ENERGIA FOTOVOLTAICA LAR DO SOL (SPE only)</t>
        </is>
      </c>
      <c r="F88" s="14" t="inlineStr">
        <is>
          <t>L</t>
        </is>
      </c>
      <c r="G88" s="21" t="n">
        <v>99.90000000000001</v>
      </c>
      <c r="H88" s="10">
        <f>G88/Assumptions!$B$7</f>
        <v/>
      </c>
      <c r="I88" s="22">
        <f>G88*1000*Assumptions!$B$8/1000000</f>
        <v/>
      </c>
      <c r="J88" s="23" t="n">
        <v>166.4</v>
      </c>
      <c r="K88" s="10" t="n">
        <v>0.3751507371570296</v>
      </c>
      <c r="L88" s="8" t="n">
        <v>495</v>
      </c>
      <c r="M88" s="7" t="inlineStr">
        <is>
          <t>USINA DE ENERGIA FOTOVOLTAICA LAR DO SOL VI S.A.; USINA DE ENERGIA FOTOVOLTAICA LAR DO SOL I S.A.; USINA DE ENERGIA FOTOVOLTAICA LAR DO SOL IV S.A.</t>
        </is>
      </c>
    </row>
    <row r="89">
      <c r="A89" s="4" t="n">
        <v>85</v>
      </c>
      <c r="B89" s="5" t="inlineStr">
        <is>
          <t>ACU III</t>
        </is>
      </c>
      <c r="C89" s="4" t="inlineStr">
        <is>
          <t>RN</t>
        </is>
      </c>
      <c r="D89" s="4" t="inlineStr">
        <is>
          <t>Solar</t>
        </is>
      </c>
      <c r="E89" s="7" t="inlineStr">
        <is>
          <t>— unmapped —</t>
        </is>
      </c>
      <c r="F89" s="14" t="inlineStr">
        <is>
          <t>L</t>
        </is>
      </c>
      <c r="G89" s="21" t="n">
        <v>98.2</v>
      </c>
      <c r="H89" s="10">
        <f>G89/Assumptions!$B$7</f>
        <v/>
      </c>
      <c r="I89" s="22">
        <f>G89*1000*Assumptions!$B$8/1000000</f>
        <v/>
      </c>
      <c r="J89" s="23" t="n">
        <v>160.3</v>
      </c>
      <c r="K89" s="10" t="n">
        <v>0.3798767702081334</v>
      </c>
      <c r="L89" s="8" t="n">
        <v>0</v>
      </c>
      <c r="M89" s="7" t="inlineStr"/>
    </row>
    <row r="90">
      <c r="A90" s="4" t="n">
        <v>86</v>
      </c>
      <c r="B90" s="5" t="inlineStr">
        <is>
          <t>ICARAI</t>
        </is>
      </c>
      <c r="C90" s="4" t="inlineStr">
        <is>
          <t>CE</t>
        </is>
      </c>
      <c r="D90" s="4" t="inlineStr">
        <is>
          <t>Wind</t>
        </is>
      </c>
      <c r="E90" s="7" t="inlineStr">
        <is>
          <t>CENTRAL GERADORA EOLICA ICARAI II S.A. (SPE only)</t>
        </is>
      </c>
      <c r="F90" s="14" t="inlineStr">
        <is>
          <t>L</t>
        </is>
      </c>
      <c r="G90" s="21" t="n">
        <v>96.8</v>
      </c>
      <c r="H90" s="10">
        <f>G90/Assumptions!$B$7</f>
        <v/>
      </c>
      <c r="I90" s="22">
        <f>G90*1000*Assumptions!$B$8/1000000</f>
        <v/>
      </c>
      <c r="J90" s="23" t="n">
        <v>144.2</v>
      </c>
      <c r="K90" s="10" t="n">
        <v>0.4017639326440192</v>
      </c>
      <c r="L90" s="8" t="n">
        <v>141</v>
      </c>
      <c r="M90" s="7" t="inlineStr">
        <is>
          <t>CENTRAL GERADORA EOLICA ICARAI II S.A.; CENTRAL GERADORA EOLICA ICARAI I S.A.; CENTRAL GERADORA EOLICA ILHA GRANDE S.A.</t>
        </is>
      </c>
    </row>
    <row r="91">
      <c r="A91" s="4" t="n">
        <v>87</v>
      </c>
      <c r="B91" s="5" t="inlineStr">
        <is>
          <t>CARNAUBAS</t>
        </is>
      </c>
      <c r="C91" s="4" t="inlineStr">
        <is>
          <t>RN</t>
        </is>
      </c>
      <c r="D91" s="4" t="inlineStr">
        <is>
          <t>Wind</t>
        </is>
      </c>
      <c r="E91" s="7" t="inlineStr">
        <is>
          <t>USINA DE ENERGIA EOLICA SAO JOAO SPE S.A (SPE only)</t>
        </is>
      </c>
      <c r="F91" s="14" t="inlineStr">
        <is>
          <t>L</t>
        </is>
      </c>
      <c r="G91" s="21" t="n">
        <v>96.59999999999999</v>
      </c>
      <c r="H91" s="10">
        <f>G91/Assumptions!$B$7</f>
        <v/>
      </c>
      <c r="I91" s="22">
        <f>G91*1000*Assumptions!$B$8/1000000</f>
        <v/>
      </c>
      <c r="J91" s="23" t="n">
        <v>104.1</v>
      </c>
      <c r="K91" s="10" t="n">
        <v>0.4813966503488666</v>
      </c>
      <c r="L91" s="8" t="n">
        <v>108</v>
      </c>
      <c r="M91" s="7" t="inlineStr">
        <is>
          <t>USINA DE ENERGIA EOLICA SAO JOAO SPE S.A; USINA DE ENERGIA EOLICA CARNAUBA SPE S.A; USINA DE ENERGIA EOLICA REDUTO SPE S.A</t>
        </is>
      </c>
    </row>
    <row r="92">
      <c r="A92" s="4" t="n">
        <v>88</v>
      </c>
      <c r="B92" s="5" t="inlineStr">
        <is>
          <t>ITAREMA V</t>
        </is>
      </c>
      <c r="C92" s="4" t="inlineStr">
        <is>
          <t>CE</t>
        </is>
      </c>
      <c r="D92" s="4" t="inlineStr">
        <is>
          <t>Wind</t>
        </is>
      </c>
      <c r="E92" s="7" t="inlineStr">
        <is>
          <t>EOLICA ITAREMA V S.A. (SPE only)</t>
        </is>
      </c>
      <c r="F92" s="14" t="inlineStr">
        <is>
          <t>L</t>
        </is>
      </c>
      <c r="G92" s="21" t="n">
        <v>95.2</v>
      </c>
      <c r="H92" s="10">
        <f>G92/Assumptions!$B$7</f>
        <v/>
      </c>
      <c r="I92" s="22">
        <f>G92*1000*Assumptions!$B$8/1000000</f>
        <v/>
      </c>
      <c r="J92" s="23" t="n">
        <v>153</v>
      </c>
      <c r="K92" s="10" t="n">
        <v>0.3834678163137873</v>
      </c>
      <c r="L92" s="8" t="n">
        <v>207</v>
      </c>
      <c r="M92" s="7" t="inlineStr">
        <is>
          <t>EOLICA ITAREMA V S.A.; EOLICA ITAREMA II S.A.; EOLICA ITAREMA III S.A.</t>
        </is>
      </c>
    </row>
    <row r="93">
      <c r="A93" s="4" t="n">
        <v>89</v>
      </c>
      <c r="B93" s="5" t="inlineStr">
        <is>
          <t>CAETITE 123</t>
        </is>
      </c>
      <c r="C93" s="4" t="inlineStr">
        <is>
          <t>BA</t>
        </is>
      </c>
      <c r="D93" s="4" t="inlineStr">
        <is>
          <t>Wind</t>
        </is>
      </c>
      <c r="E93" s="7" t="inlineStr">
        <is>
          <t>Engie Brasil Energia</t>
        </is>
      </c>
      <c r="F93" s="13" t="inlineStr">
        <is>
          <t>H</t>
        </is>
      </c>
      <c r="G93" s="21" t="n">
        <v>94.5</v>
      </c>
      <c r="H93" s="10">
        <f>G93/Assumptions!$B$7</f>
        <v/>
      </c>
      <c r="I93" s="22">
        <f>G93*1000*Assumptions!$B$8/1000000</f>
        <v/>
      </c>
      <c r="J93" s="23" t="n">
        <v>50.4</v>
      </c>
      <c r="K93" s="10" t="n">
        <v>0.6521336903481544</v>
      </c>
      <c r="L93" s="8" t="n">
        <v>90</v>
      </c>
      <c r="M93" s="7" t="inlineStr">
        <is>
          <t>CAETITE 2 ENERGIA RENOVAVEL S/A; CAETITE 3 ENERGIA RENOVAVEL S/A.; CAETITE 1 ENERGIA RENOVAVEL S/A</t>
        </is>
      </c>
    </row>
    <row r="94">
      <c r="A94" s="4" t="n">
        <v>90</v>
      </c>
      <c r="B94" s="5" t="inlineStr">
        <is>
          <t>ALEGRIA II</t>
        </is>
      </c>
      <c r="C94" s="4" t="inlineStr">
        <is>
          <t>RN</t>
        </is>
      </c>
      <c r="D94" s="4" t="inlineStr">
        <is>
          <t>Wind</t>
        </is>
      </c>
      <c r="E94" s="7" t="inlineStr">
        <is>
          <t>— unmapped —</t>
        </is>
      </c>
      <c r="F94" s="14" t="inlineStr">
        <is>
          <t>L</t>
        </is>
      </c>
      <c r="G94" s="21" t="n">
        <v>93.5</v>
      </c>
      <c r="H94" s="10">
        <f>G94/Assumptions!$B$7</f>
        <v/>
      </c>
      <c r="I94" s="22">
        <f>G94*1000*Assumptions!$B$8/1000000</f>
        <v/>
      </c>
      <c r="J94" s="23" t="n">
        <v>56.7</v>
      </c>
      <c r="K94" s="10" t="n">
        <v>0.622411562886344</v>
      </c>
      <c r="L94" s="8" t="n">
        <v>0</v>
      </c>
      <c r="M94" s="7" t="inlineStr"/>
    </row>
    <row r="95">
      <c r="A95" s="4" t="n">
        <v>91</v>
      </c>
      <c r="B95" s="5" t="inlineStr">
        <is>
          <t>FAISA</t>
        </is>
      </c>
      <c r="C95" s="4" t="inlineStr">
        <is>
          <t>CE</t>
        </is>
      </c>
      <c r="D95" s="4" t="inlineStr">
        <is>
          <t>Wind</t>
        </is>
      </c>
      <c r="E95" s="7" t="inlineStr">
        <is>
          <t>EMBUACA GERACAO E COMERCIALIZACAO DE ENE (SPE only)</t>
        </is>
      </c>
      <c r="F95" s="14" t="inlineStr">
        <is>
          <t>L</t>
        </is>
      </c>
      <c r="G95" s="21" t="n">
        <v>92.7</v>
      </c>
      <c r="H95" s="10">
        <f>G95/Assumptions!$B$7</f>
        <v/>
      </c>
      <c r="I95" s="22">
        <f>G95*1000*Assumptions!$B$8/1000000</f>
        <v/>
      </c>
      <c r="J95" s="23" t="n">
        <v>160.2</v>
      </c>
      <c r="K95" s="10" t="n">
        <v>0.3665190511682581</v>
      </c>
      <c r="L95" s="8" t="n">
        <v>228</v>
      </c>
      <c r="M95" s="7" t="inlineStr">
        <is>
          <t>EMBUACA GERACAO E COMERCIALIZACAO DE ENERGIA S/A; CENTRAL EOLICA SAO JORGE S.A.; CENTRAL EOLICA SAO CRISTOVAO S.A.</t>
        </is>
      </c>
    </row>
    <row r="96">
      <c r="A96" s="4" t="n">
        <v>92</v>
      </c>
      <c r="B96" s="5" t="inlineStr">
        <is>
          <t>ARIZONA</t>
        </is>
      </c>
      <c r="C96" s="4" t="inlineStr">
        <is>
          <t>BA</t>
        </is>
      </c>
      <c r="D96" s="4" t="inlineStr">
        <is>
          <t>Wind</t>
        </is>
      </c>
      <c r="E96" s="7" t="inlineStr">
        <is>
          <t>MORRO BRANCO II ENERGÉTICA S.A. (SPE only)</t>
        </is>
      </c>
      <c r="F96" s="14" t="inlineStr">
        <is>
          <t>L</t>
        </is>
      </c>
      <c r="G96" s="21" t="n">
        <v>92.59999999999999</v>
      </c>
      <c r="H96" s="10">
        <f>G96/Assumptions!$B$7</f>
        <v/>
      </c>
      <c r="I96" s="22">
        <f>G96*1000*Assumptions!$B$8/1000000</f>
        <v/>
      </c>
      <c r="J96" s="23" t="n">
        <v>98.5</v>
      </c>
      <c r="K96" s="10" t="n">
        <v>0.4846341185087609</v>
      </c>
      <c r="L96" s="8" t="n">
        <v>246</v>
      </c>
      <c r="M96" s="7" t="inlineStr">
        <is>
          <t>Morro Branco II Energética S.A.; SERRA DO FOGO ENERGÉTICA S.A.; SERRA DO VENTO ENERGÉTICA S.A.</t>
        </is>
      </c>
    </row>
    <row r="97">
      <c r="A97" s="4" t="n">
        <v>93</v>
      </c>
      <c r="B97" s="5" t="inlineStr">
        <is>
          <t>SERRA DO MATO</t>
        </is>
      </c>
      <c r="C97" s="4" t="inlineStr">
        <is>
          <t>CE</t>
        </is>
      </c>
      <c r="D97" s="4" t="inlineStr">
        <is>
          <t>Solar</t>
        </is>
      </c>
      <c r="E97" s="7" t="inlineStr">
        <is>
          <t>EOLICA SERRA DO MATO I ENERGY S.A (SPE only)</t>
        </is>
      </c>
      <c r="F97" s="14" t="inlineStr">
        <is>
          <t>L</t>
        </is>
      </c>
      <c r="G97" s="21" t="n">
        <v>89.59999999999999</v>
      </c>
      <c r="H97" s="10">
        <f>G97/Assumptions!$B$7</f>
        <v/>
      </c>
      <c r="I97" s="22">
        <f>G97*1000*Assumptions!$B$8/1000000</f>
        <v/>
      </c>
      <c r="J97" s="23" t="n">
        <v>158.3</v>
      </c>
      <c r="K97" s="10" t="n">
        <v>0.3614573729042537</v>
      </c>
      <c r="L97" s="8" t="n">
        <v>223</v>
      </c>
      <c r="M97" s="7" t="inlineStr">
        <is>
          <t>EOLICA SERRA DO MATO I ENERGY S.A; EOLICA SERRA DO MATO II ENERGY S.A; EOLICA SERRA DO MATO III ENERGY S.A.</t>
        </is>
      </c>
    </row>
    <row r="98">
      <c r="A98" s="4" t="n">
        <v>94</v>
      </c>
      <c r="B98" s="5" t="inlineStr">
        <is>
          <t>FOLHA LARGA SUL</t>
        </is>
      </c>
      <c r="C98" s="4" t="inlineStr">
        <is>
          <t>BA</t>
        </is>
      </c>
      <c r="D98" s="4" t="inlineStr">
        <is>
          <t>Wind</t>
        </is>
      </c>
      <c r="E98" s="7" t="inlineStr">
        <is>
          <t>Casa dos Ventos</t>
        </is>
      </c>
      <c r="F98" s="6" t="inlineStr">
        <is>
          <t>M</t>
        </is>
      </c>
      <c r="G98" s="21" t="n">
        <v>88.8</v>
      </c>
      <c r="H98" s="10">
        <f>G98/Assumptions!$B$7</f>
        <v/>
      </c>
      <c r="I98" s="22">
        <f>G98*1000*Assumptions!$B$8/1000000</f>
        <v/>
      </c>
      <c r="J98" s="23" t="n">
        <v>72.09999999999999</v>
      </c>
      <c r="K98" s="10" t="n">
        <v>0.5516004467798067</v>
      </c>
      <c r="L98" s="8" t="n">
        <v>151</v>
      </c>
      <c r="M98" s="7" t="inlineStr">
        <is>
          <t>VENTOS DE SÃO BENTO ENERGIAS RENOVÁVEIS S.A; VENTOS DE SÃO GALVÃO ENERGIAS RENOVÁVEIS S/A; VENTOS DE SANTO ELOY ENERGIAS RENOVÁVEIS S/A</t>
        </is>
      </c>
    </row>
    <row r="99">
      <c r="A99" s="4" t="n">
        <v>95</v>
      </c>
      <c r="B99" s="5" t="inlineStr">
        <is>
          <t>LAGOA DO BARRO I</t>
        </is>
      </c>
      <c r="C99" s="4" t="inlineStr">
        <is>
          <t>PI</t>
        </is>
      </c>
      <c r="D99" s="4" t="inlineStr">
        <is>
          <t>Wind</t>
        </is>
      </c>
      <c r="E99" s="7" t="inlineStr">
        <is>
          <t>LAGOA DO BARRO IX ENERGIAS RENOVAVEIS S. (SPE only)</t>
        </is>
      </c>
      <c r="F99" s="14" t="inlineStr">
        <is>
          <t>L</t>
        </is>
      </c>
      <c r="G99" s="21" t="n">
        <v>87.90000000000001</v>
      </c>
      <c r="H99" s="10">
        <f>G99/Assumptions!$B$7</f>
        <v/>
      </c>
      <c r="I99" s="22">
        <f>G99*1000*Assumptions!$B$8/1000000</f>
        <v/>
      </c>
      <c r="J99" s="23" t="n">
        <v>113.5</v>
      </c>
      <c r="K99" s="10" t="n">
        <v>0.4364307581561263</v>
      </c>
      <c r="L99" s="8" t="n">
        <v>296</v>
      </c>
      <c r="M99" s="7" t="inlineStr">
        <is>
          <t>LAGOA DO BARRO IX ENERGIAS RENOVAVEIS S.A.; LAGOA DO BARRO VII ENERGIAS RENOVAVEIS S.A.; LAGOA DO BARRO III ENERGIAS RENOVAVEIS S.A.</t>
        </is>
      </c>
    </row>
    <row r="100">
      <c r="A100" s="4" t="n">
        <v>96</v>
      </c>
      <c r="B100" s="5" t="inlineStr">
        <is>
          <t>SAO CLEMENTE</t>
        </is>
      </c>
      <c r="C100" s="4" t="inlineStr">
        <is>
          <t>PE</t>
        </is>
      </c>
      <c r="D100" s="4" t="inlineStr">
        <is>
          <t>Wind</t>
        </is>
      </c>
      <c r="E100" s="7" t="inlineStr">
        <is>
          <t>Casa dos Ventos</t>
        </is>
      </c>
      <c r="F100" s="6" t="inlineStr">
        <is>
          <t>M</t>
        </is>
      </c>
      <c r="G100" s="21" t="n">
        <v>87.8</v>
      </c>
      <c r="H100" s="10">
        <f>G100/Assumptions!$B$7</f>
        <v/>
      </c>
      <c r="I100" s="22">
        <f>G100*1000*Assumptions!$B$8/1000000</f>
        <v/>
      </c>
      <c r="J100" s="23" t="n">
        <v>109.4</v>
      </c>
      <c r="K100" s="10" t="n">
        <v>0.4453565047666407</v>
      </c>
      <c r="L100" s="8" t="n">
        <v>232</v>
      </c>
      <c r="M100" s="7" t="inlineStr">
        <is>
          <t>VENTOS DE SAO CLEMENTE I ENERGIAS RENOVAVEIS S.A; VENTOS DE SAO CLEMENTE II ENERGIAS RENOVAVEIS S.A; VENTOS DE SAO CLEMENTE III ENERGIAS RENOVAVEIS S.A</t>
        </is>
      </c>
    </row>
    <row r="101">
      <c r="A101" s="4" t="n">
        <v>97</v>
      </c>
      <c r="B101" s="5" t="inlineStr">
        <is>
          <t>PIRAPORA 2</t>
        </is>
      </c>
      <c r="C101" s="4" t="inlineStr">
        <is>
          <t>MG</t>
        </is>
      </c>
      <c r="D101" s="4" t="inlineStr">
        <is>
          <t>Solar</t>
        </is>
      </c>
      <c r="E101" s="7" t="inlineStr">
        <is>
          <t>VAZANTE I ENERGIAS RENOVAVEIS S.A. (SPE only)</t>
        </is>
      </c>
      <c r="F101" s="14" t="inlineStr">
        <is>
          <t>L</t>
        </is>
      </c>
      <c r="G101" s="21" t="n">
        <v>86.5</v>
      </c>
      <c r="H101" s="10">
        <f>G101/Assumptions!$B$7</f>
        <v/>
      </c>
      <c r="I101" s="22">
        <f>G101*1000*Assumptions!$B$8/1000000</f>
        <v/>
      </c>
      <c r="J101" s="23" t="n">
        <v>162</v>
      </c>
      <c r="K101" s="10" t="n">
        <v>0.3481852101811587</v>
      </c>
      <c r="L101" s="8" t="n">
        <v>329</v>
      </c>
      <c r="M101" s="7" t="inlineStr">
        <is>
          <t>VAZANTE I ENERGIAS RENOVAVEIS S.A.; VAZANTE II ENERGIAS RENOVAVEIS S.A.; VAZANTE III ENERGIAS RENOVAVEIS S.A.</t>
        </is>
      </c>
    </row>
    <row r="102">
      <c r="A102" s="4" t="n">
        <v>98</v>
      </c>
      <c r="B102" s="5" t="inlineStr">
        <is>
          <t>JANDAIRA III</t>
        </is>
      </c>
      <c r="C102" s="4" t="inlineStr">
        <is>
          <t>RN</t>
        </is>
      </c>
      <c r="D102" s="4" t="inlineStr">
        <is>
          <t>Wind</t>
        </is>
      </c>
      <c r="E102" s="7" t="inlineStr">
        <is>
          <t>Cutia/União dos Ventos SPEs</t>
        </is>
      </c>
      <c r="F102" s="6" t="inlineStr">
        <is>
          <t>M</t>
        </is>
      </c>
      <c r="G102" s="21" t="n">
        <v>85.59999999999999</v>
      </c>
      <c r="H102" s="10">
        <f>G102/Assumptions!$B$7</f>
        <v/>
      </c>
      <c r="I102" s="22">
        <f>G102*1000*Assumptions!$B$8/1000000</f>
        <v/>
      </c>
      <c r="J102" s="23" t="n">
        <v>43.9</v>
      </c>
      <c r="K102" s="10" t="n">
        <v>0.6608703624620281</v>
      </c>
      <c r="L102" s="8" t="n">
        <v>63</v>
      </c>
      <c r="M102" s="7" t="inlineStr">
        <is>
          <t>EOLICA DO AGRESTE POTIGUAR I S.A.; EOLICA DO AGRESTE POTIGUAR II S.A.</t>
        </is>
      </c>
    </row>
    <row r="103">
      <c r="A103" s="4" t="n">
        <v>99</v>
      </c>
      <c r="B103" s="5" t="inlineStr">
        <is>
          <t>BAIXA DO FEIJAO</t>
        </is>
      </c>
      <c r="C103" s="4" t="inlineStr">
        <is>
          <t>RN</t>
        </is>
      </c>
      <c r="D103" s="4" t="inlineStr">
        <is>
          <t>Wind</t>
        </is>
      </c>
      <c r="E103" s="7" t="inlineStr">
        <is>
          <t>CENTRAL EOLICA JAU S.A. (SPE only)</t>
        </is>
      </c>
      <c r="F103" s="14" t="inlineStr">
        <is>
          <t>L</t>
        </is>
      </c>
      <c r="G103" s="21" t="n">
        <v>85.09999999999999</v>
      </c>
      <c r="H103" s="10">
        <f>G103/Assumptions!$B$7</f>
        <v/>
      </c>
      <c r="I103" s="22">
        <f>G103*1000*Assumptions!$B$8/1000000</f>
        <v/>
      </c>
      <c r="J103" s="23" t="n">
        <v>80.3</v>
      </c>
      <c r="K103" s="10" t="n">
        <v>0.514741649178033</v>
      </c>
      <c r="L103" s="8" t="n">
        <v>219</v>
      </c>
      <c r="M103" s="7" t="inlineStr">
        <is>
          <t>CENTRAL EOLICA JAU S.A.; CENTRAL EOLICA BAIXA DO FEIJAO IV S.A.; CENTRAL EOLICA BAIXA DO FEIJAO I S.A.</t>
        </is>
      </c>
    </row>
    <row r="104">
      <c r="A104" s="4" t="n">
        <v>100</v>
      </c>
      <c r="B104" s="5" t="inlineStr">
        <is>
          <t>GPEXPAN</t>
        </is>
      </c>
      <c r="C104" s="4" t="inlineStr">
        <is>
          <t>BA</t>
        </is>
      </c>
      <c r="D104" s="4" t="inlineStr">
        <is>
          <t>Wind</t>
        </is>
      </c>
      <c r="E104" s="7" t="inlineStr">
        <is>
          <t>AXIA ENERGIA NORDESTE S.A. (SPE only)</t>
        </is>
      </c>
      <c r="F104" s="14" t="inlineStr">
        <is>
          <t>L</t>
        </is>
      </c>
      <c r="G104" s="21" t="n">
        <v>83</v>
      </c>
      <c r="H104" s="10">
        <f>G104/Assumptions!$B$7</f>
        <v/>
      </c>
      <c r="I104" s="22">
        <f>G104*1000*Assumptions!$B$8/1000000</f>
        <v/>
      </c>
      <c r="J104" s="23" t="n">
        <v>54.2</v>
      </c>
      <c r="K104" s="10" t="n">
        <v>0.6047564583861358</v>
      </c>
      <c r="L104" s="8" t="n">
        <v>190</v>
      </c>
      <c r="M104" s="7" t="inlineStr">
        <is>
          <t>AXIA ENERGIA NORDESTE S.A.; CIA BEAL DE ALIMENTOS; EOLICA PINDAI IV GERACAO DE ENERGIA S.A.</t>
        </is>
      </c>
    </row>
    <row r="105">
      <c r="A105" s="4" t="n">
        <v>101</v>
      </c>
      <c r="B105" s="5" t="inlineStr">
        <is>
          <t>MORRO DOS VENTOS II</t>
        </is>
      </c>
      <c r="C105" s="4" t="inlineStr">
        <is>
          <t>RN</t>
        </is>
      </c>
      <c r="D105" s="4" t="inlineStr">
        <is>
          <t>Wind</t>
        </is>
      </c>
      <c r="E105" s="7" t="inlineStr">
        <is>
          <t>Serena Energia</t>
        </is>
      </c>
      <c r="F105" s="6" t="inlineStr">
        <is>
          <t>M</t>
        </is>
      </c>
      <c r="G105" s="21" t="n">
        <v>82.7</v>
      </c>
      <c r="H105" s="10">
        <f>G105/Assumptions!$B$7</f>
        <v/>
      </c>
      <c r="I105" s="22">
        <f>G105*1000*Assumptions!$B$8/1000000</f>
        <v/>
      </c>
      <c r="J105" s="23" t="n">
        <v>59.8</v>
      </c>
      <c r="K105" s="10" t="n">
        <v>0.5805462763147234</v>
      </c>
      <c r="L105" s="8" t="n">
        <v>89</v>
      </c>
      <c r="M105" s="7" t="inlineStr">
        <is>
          <t>DESA EURUS I LTDA.; DESA EURUS III LTDA.; DESA MORRO DOS VENTOS II LTDA.</t>
        </is>
      </c>
    </row>
    <row r="106">
      <c r="A106" s="4" t="n">
        <v>102</v>
      </c>
      <c r="B106" s="5" t="inlineStr">
        <is>
          <t>PAPAGAIOS</t>
        </is>
      </c>
      <c r="C106" s="4" t="inlineStr">
        <is>
          <t>CE</t>
        </is>
      </c>
      <c r="D106" s="4" t="inlineStr">
        <is>
          <t>Wind</t>
        </is>
      </c>
      <c r="E106" s="7" t="inlineStr">
        <is>
          <t>NOVA EOLICA BURITI S.A. (SPE only)</t>
        </is>
      </c>
      <c r="F106" s="14" t="inlineStr">
        <is>
          <t>L</t>
        </is>
      </c>
      <c r="G106" s="21" t="n">
        <v>78.8</v>
      </c>
      <c r="H106" s="10">
        <f>G106/Assumptions!$B$7</f>
        <v/>
      </c>
      <c r="I106" s="22">
        <f>G106*1000*Assumptions!$B$8/1000000</f>
        <v/>
      </c>
      <c r="J106" s="23" t="n">
        <v>90.59999999999999</v>
      </c>
      <c r="K106" s="10" t="n">
        <v>0.4653357777356446</v>
      </c>
      <c r="L106" s="8" t="n">
        <v>87</v>
      </c>
      <c r="M106" s="7" t="inlineStr">
        <is>
          <t>NOVA EOLICA BURITI S.A.; NOVA EOLICA COQUEIRO S.A.; NOVA EOLICA CAJUCOCO S.A.</t>
        </is>
      </c>
    </row>
    <row r="107">
      <c r="A107" s="4" t="n">
        <v>103</v>
      </c>
      <c r="B107" s="5" t="inlineStr">
        <is>
          <t>CALCARIO</t>
        </is>
      </c>
      <c r="C107" s="4" t="inlineStr">
        <is>
          <t>CE</t>
        </is>
      </c>
      <c r="D107" s="4" t="inlineStr">
        <is>
          <t>Solar</t>
        </is>
      </c>
      <c r="E107" s="7" t="inlineStr">
        <is>
          <t>APODI I ENERGIA SPE S/A (SPE only)</t>
        </is>
      </c>
      <c r="F107" s="14" t="inlineStr">
        <is>
          <t>L</t>
        </is>
      </c>
      <c r="G107" s="21" t="n">
        <v>78.2</v>
      </c>
      <c r="H107" s="10">
        <f>G107/Assumptions!$B$7</f>
        <v/>
      </c>
      <c r="I107" s="22">
        <f>G107*1000*Assumptions!$B$8/1000000</f>
        <v/>
      </c>
      <c r="J107" s="23" t="n">
        <v>49.1</v>
      </c>
      <c r="K107" s="10" t="n">
        <v>0.6142497632453799</v>
      </c>
      <c r="L107" s="8" t="n">
        <v>132</v>
      </c>
      <c r="M107" s="7" t="inlineStr">
        <is>
          <t>APODI I ENERGIA SPE S/A; APODI II ENERGIA SPE S/A; APODI III ENERGIA SPE S/A</t>
        </is>
      </c>
    </row>
    <row r="108">
      <c r="A108" s="4" t="n">
        <v>104</v>
      </c>
      <c r="B108" s="5" t="inlineStr">
        <is>
          <t>AREIA BRANCA</t>
        </is>
      </c>
      <c r="C108" s="4" t="inlineStr">
        <is>
          <t>RN</t>
        </is>
      </c>
      <c r="D108" s="4" t="inlineStr">
        <is>
          <t>Wind</t>
        </is>
      </c>
      <c r="E108" s="7" t="inlineStr">
        <is>
          <t>EOLICA BELA VISTA GERACAO E COMERCIALIZA (SPE only)</t>
        </is>
      </c>
      <c r="F108" s="14" t="inlineStr">
        <is>
          <t>L</t>
        </is>
      </c>
      <c r="G108" s="21" t="n">
        <v>78.2</v>
      </c>
      <c r="H108" s="10">
        <f>G108/Assumptions!$B$7</f>
        <v/>
      </c>
      <c r="I108" s="22">
        <f>G108*1000*Assumptions!$B$8/1000000</f>
        <v/>
      </c>
      <c r="J108" s="23" t="n">
        <v>35</v>
      </c>
      <c r="K108" s="10" t="n">
        <v>0.6908435701946749</v>
      </c>
      <c r="L108" s="8" t="n">
        <v>50</v>
      </c>
      <c r="M108" s="7" t="inlineStr">
        <is>
          <t>EOLICA BELA VISTA GERACAO E COMERCIALIZACAO DE ENERGIA SA; EOLICA MAR E TERRA GERACAO E COMERCIALIZACAO DE ENERGIA S.A.</t>
        </is>
      </c>
    </row>
    <row r="109">
      <c r="A109" s="4" t="n">
        <v>105</v>
      </c>
      <c r="B109" s="5" t="inlineStr">
        <is>
          <t>TAMBORIL II</t>
        </is>
      </c>
      <c r="C109" s="4" t="inlineStr">
        <is>
          <t>BA</t>
        </is>
      </c>
      <c r="D109" s="4" t="inlineStr">
        <is>
          <t>Wind</t>
        </is>
      </c>
      <c r="E109" s="7" t="inlineStr">
        <is>
          <t>CENTRAIS EOLICAS SAO SALVADOR S.A (SPE only)</t>
        </is>
      </c>
      <c r="F109" s="14" t="inlineStr">
        <is>
          <t>L</t>
        </is>
      </c>
      <c r="G109" s="21" t="n">
        <v>78.09999999999999</v>
      </c>
      <c r="H109" s="10">
        <f>G109/Assumptions!$B$7</f>
        <v/>
      </c>
      <c r="I109" s="22">
        <f>G109*1000*Assumptions!$B$8/1000000</f>
        <v/>
      </c>
      <c r="J109" s="23" t="n">
        <v>38.2</v>
      </c>
      <c r="K109" s="10" t="n">
        <v>0.6717547939719682</v>
      </c>
      <c r="L109" s="8" t="n">
        <v>65</v>
      </c>
      <c r="M109" s="7" t="inlineStr">
        <is>
          <t>CENTRAIS EOLICAS SAO SALVADOR S.A; CENTRAIS EOLICAS ANGICO S.A.; CENTRAIS EOLICAS TABOQUINHA S.A.</t>
        </is>
      </c>
    </row>
    <row r="110">
      <c r="A110" s="4" t="n">
        <v>106</v>
      </c>
      <c r="B110" s="5" t="inlineStr">
        <is>
          <t>CACIMBAS</t>
        </is>
      </c>
      <c r="C110" s="4" t="inlineStr">
        <is>
          <t>CE</t>
        </is>
      </c>
      <c r="D110" s="4" t="inlineStr">
        <is>
          <t>Wind</t>
        </is>
      </c>
      <c r="E110" s="7" t="inlineStr">
        <is>
          <t>GERADORA EOLICA BONS VENTOS DA SERRA 2 S (SPE only)</t>
        </is>
      </c>
      <c r="F110" s="14" t="inlineStr">
        <is>
          <t>L</t>
        </is>
      </c>
      <c r="G110" s="21" t="n">
        <v>75.7</v>
      </c>
      <c r="H110" s="10">
        <f>G110/Assumptions!$B$7</f>
        <v/>
      </c>
      <c r="I110" s="22">
        <f>G110*1000*Assumptions!$B$8/1000000</f>
        <v/>
      </c>
      <c r="J110" s="23" t="n">
        <v>40.4</v>
      </c>
      <c r="K110" s="10" t="n">
        <v>0.6521467260542984</v>
      </c>
      <c r="L110" s="8" t="n">
        <v>86</v>
      </c>
      <c r="M110" s="7" t="inlineStr">
        <is>
          <t>GERADORA EOLICA BONS VENTOS DA SERRA 2 S.A.</t>
        </is>
      </c>
    </row>
    <row r="111">
      <c r="A111" s="4" t="n">
        <v>107</v>
      </c>
      <c r="B111" s="5" t="inlineStr">
        <is>
          <t>PINDAI II</t>
        </is>
      </c>
      <c r="C111" s="4" t="inlineStr">
        <is>
          <t>BA</t>
        </is>
      </c>
      <c r="D111" s="4" t="inlineStr">
        <is>
          <t>Wind</t>
        </is>
      </c>
      <c r="E111" s="7" t="inlineStr">
        <is>
          <t>— unmapped —</t>
        </is>
      </c>
      <c r="F111" s="14" t="inlineStr">
        <is>
          <t>L</t>
        </is>
      </c>
      <c r="G111" s="21" t="n">
        <v>73.59999999999999</v>
      </c>
      <c r="H111" s="10">
        <f>G111/Assumptions!$B$7</f>
        <v/>
      </c>
      <c r="I111" s="22">
        <f>G111*1000*Assumptions!$B$8/1000000</f>
        <v/>
      </c>
      <c r="J111" s="23" t="n">
        <v>48.1</v>
      </c>
      <c r="K111" s="10" t="n">
        <v>0.6047651776222608</v>
      </c>
      <c r="L111" s="8" t="n">
        <v>0</v>
      </c>
      <c r="M111" s="7" t="inlineStr"/>
    </row>
    <row r="112">
      <c r="A112" s="4" t="n">
        <v>108</v>
      </c>
      <c r="B112" s="5" t="inlineStr">
        <is>
          <t>MONTE VERDE SOLAR</t>
        </is>
      </c>
      <c r="C112" s="4" t="inlineStr">
        <is>
          <t>RN</t>
        </is>
      </c>
      <c r="D112" s="4" t="inlineStr">
        <is>
          <t>Solar</t>
        </is>
      </c>
      <c r="E112" s="7" t="inlineStr">
        <is>
          <t>Central Eólica SPEs (RN/CE)</t>
        </is>
      </c>
      <c r="F112" s="6" t="inlineStr">
        <is>
          <t>M</t>
        </is>
      </c>
      <c r="G112" s="21" t="n">
        <v>72.2</v>
      </c>
      <c r="H112" s="10">
        <f>G112/Assumptions!$B$7</f>
        <v/>
      </c>
      <c r="I112" s="22">
        <f>G112*1000*Assumptions!$B$8/1000000</f>
        <v/>
      </c>
      <c r="J112" s="23" t="n">
        <v>106.1</v>
      </c>
      <c r="K112" s="10" t="n">
        <v>0.4047815558719451</v>
      </c>
      <c r="L112" s="8" t="n">
        <v>212</v>
      </c>
      <c r="M112" s="7" t="inlineStr">
        <is>
          <t>BOZEL BRASIL S.A.; CENTRAL GERADORA FOTOVOLTAICA MONTE VERDE SOLAR VII S.A.; CENTRAL GERADORA FOTOVOLTAICA MONTE VERDE SOLAR III S.A.</t>
        </is>
      </c>
    </row>
    <row r="113">
      <c r="A113" s="4" t="n">
        <v>109</v>
      </c>
      <c r="B113" s="5" t="inlineStr">
        <is>
          <t>RENASCENCA V</t>
        </is>
      </c>
      <c r="C113" s="4" t="inlineStr">
        <is>
          <t>RN</t>
        </is>
      </c>
      <c r="D113" s="4" t="inlineStr">
        <is>
          <t>Wind</t>
        </is>
      </c>
      <c r="E113" s="7" t="inlineStr">
        <is>
          <t>RENASCENCA V ENERGIAS RENOVAVEIS S.A. (SPE only)</t>
        </is>
      </c>
      <c r="F113" s="14" t="inlineStr">
        <is>
          <t>L</t>
        </is>
      </c>
      <c r="G113" s="21" t="n">
        <v>72.09999999999999</v>
      </c>
      <c r="H113" s="10">
        <f>G113/Assumptions!$B$7</f>
        <v/>
      </c>
      <c r="I113" s="22">
        <f>G113*1000*Assumptions!$B$8/1000000</f>
        <v/>
      </c>
      <c r="J113" s="23" t="n">
        <v>47.4</v>
      </c>
      <c r="K113" s="10" t="n">
        <v>0.6030885807085927</v>
      </c>
      <c r="L113" s="8" t="n">
        <v>60</v>
      </c>
      <c r="M113" s="7" t="inlineStr">
        <is>
          <t>RENASCENCA V ENERGIAS RENOVAVEIS S.A.; EURUS II ENERGIAS RENOVAVEIS S.A.</t>
        </is>
      </c>
    </row>
    <row r="114">
      <c r="A114" s="4" t="n">
        <v>110</v>
      </c>
      <c r="B114" s="5" t="inlineStr">
        <is>
          <t>MACACOS</t>
        </is>
      </c>
      <c r="C114" s="4" t="inlineStr">
        <is>
          <t>RN</t>
        </is>
      </c>
      <c r="D114" s="4" t="inlineStr">
        <is>
          <t>Wind</t>
        </is>
      </c>
      <c r="E114" s="7" t="inlineStr">
        <is>
          <t>SPE JUREMAS ENERGIA S.A. (SPE only)</t>
        </is>
      </c>
      <c r="F114" s="14" t="inlineStr">
        <is>
          <t>L</t>
        </is>
      </c>
      <c r="G114" s="21" t="n">
        <v>70.59999999999999</v>
      </c>
      <c r="H114" s="10">
        <f>G114/Assumptions!$B$7</f>
        <v/>
      </c>
      <c r="I114" s="22">
        <f>G114*1000*Assumptions!$B$8/1000000</f>
        <v/>
      </c>
      <c r="J114" s="23" t="n">
        <v>46.6</v>
      </c>
      <c r="K114" s="10" t="n">
        <v>0.6024186436763064</v>
      </c>
      <c r="L114" s="8" t="n">
        <v>78</v>
      </c>
      <c r="M114" s="7" t="inlineStr">
        <is>
          <t>SPE JUREMAS ENERGIA S.A.; SPE MACACOS ENERGIA S.A.; SPE PEDRA PRETA ENERGIA S.A.</t>
        </is>
      </c>
    </row>
    <row r="115">
      <c r="A115" s="4" t="n">
        <v>111</v>
      </c>
      <c r="B115" s="5" t="inlineStr">
        <is>
          <t>SERRA DO SERIDO</t>
        </is>
      </c>
      <c r="C115" s="4" t="inlineStr">
        <is>
          <t>PB</t>
        </is>
      </c>
      <c r="D115" s="4" t="inlineStr">
        <is>
          <t>Wind</t>
        </is>
      </c>
      <c r="E115" s="7" t="inlineStr">
        <is>
          <t>PARQUE EÓLICO SERRA DO SERIDÓ II S.A. (SPE only)</t>
        </is>
      </c>
      <c r="F115" s="14" t="inlineStr">
        <is>
          <t>L</t>
        </is>
      </c>
      <c r="G115" s="21" t="n">
        <v>70.5</v>
      </c>
      <c r="H115" s="10">
        <f>G115/Assumptions!$B$7</f>
        <v/>
      </c>
      <c r="I115" s="22">
        <f>G115*1000*Assumptions!$B$8/1000000</f>
        <v/>
      </c>
      <c r="J115" s="23" t="n">
        <v>141.4</v>
      </c>
      <c r="K115" s="10" t="n">
        <v>0.3327010317458302</v>
      </c>
      <c r="L115" s="8" t="n">
        <v>480</v>
      </c>
      <c r="M115" s="7" t="inlineStr">
        <is>
          <t>Parque Eólico Serra do Seridó II S.A.; Parque Eólico Serra do Seridó III S.A.; Parque Eólico Serra do Seridó IV S.A.</t>
        </is>
      </c>
    </row>
    <row r="116">
      <c r="A116" s="4" t="n">
        <v>112</v>
      </c>
      <c r="B116" s="5" t="inlineStr">
        <is>
          <t>FOTOV. ACU III</t>
        </is>
      </c>
      <c r="C116" s="4" t="inlineStr">
        <is>
          <t>RN</t>
        </is>
      </c>
      <c r="D116" s="4" t="inlineStr">
        <is>
          <t>Solar</t>
        </is>
      </c>
      <c r="E116" s="7" t="inlineStr">
        <is>
          <t>— unmapped —</t>
        </is>
      </c>
      <c r="F116" s="14" t="inlineStr">
        <is>
          <t>L</t>
        </is>
      </c>
      <c r="G116" s="21" t="n">
        <v>69.3</v>
      </c>
      <c r="H116" s="10">
        <f>G116/Assumptions!$B$7</f>
        <v/>
      </c>
      <c r="I116" s="22">
        <f>G116*1000*Assumptions!$B$8/1000000</f>
        <v/>
      </c>
      <c r="J116" s="23" t="n">
        <v>40.4</v>
      </c>
      <c r="K116" s="10" t="n">
        <v>0.6316423867500609</v>
      </c>
      <c r="L116" s="8" t="n">
        <v>0</v>
      </c>
      <c r="M116" s="7" t="inlineStr"/>
    </row>
    <row r="117">
      <c r="A117" s="4" t="n">
        <v>113</v>
      </c>
      <c r="B117" s="5" t="inlineStr">
        <is>
          <t>MUNDO NOVO</t>
        </is>
      </c>
      <c r="C117" s="4" t="inlineStr">
        <is>
          <t>RN</t>
        </is>
      </c>
      <c r="D117" s="4" t="inlineStr">
        <is>
          <t>Wind</t>
        </is>
      </c>
      <c r="E117" s="7" t="inlineStr">
        <is>
          <t>SPE 3  CENTRAL EÓLICA MUNDO NOVO S.A. (SPE only)</t>
        </is>
      </c>
      <c r="F117" s="14" t="inlineStr">
        <is>
          <t>L</t>
        </is>
      </c>
      <c r="G117" s="21" t="n">
        <v>68.90000000000001</v>
      </c>
      <c r="H117" s="10">
        <f>G117/Assumptions!$B$7</f>
        <v/>
      </c>
      <c r="I117" s="22">
        <f>G117*1000*Assumptions!$B$8/1000000</f>
        <v/>
      </c>
      <c r="J117" s="23" t="n">
        <v>85.59999999999999</v>
      </c>
      <c r="K117" s="10" t="n">
        <v>0.4460979093162067</v>
      </c>
      <c r="L117" s="8" t="n">
        <v>104</v>
      </c>
      <c r="M117" s="7" t="inlineStr">
        <is>
          <t>SPE 3  Central Eólica Mundo Novo S.A.; SPE 2  Central Eólica Mundo Novo S.A.; SPE 1  Central Eólica Mundo Novo S.A.</t>
        </is>
      </c>
    </row>
    <row r="118">
      <c r="A118" s="4" t="n">
        <v>114</v>
      </c>
      <c r="B118" s="5" t="inlineStr">
        <is>
          <t>CAETITE</t>
        </is>
      </c>
      <c r="C118" s="4" t="inlineStr">
        <is>
          <t>BA</t>
        </is>
      </c>
      <c r="D118" s="4" t="inlineStr">
        <is>
          <t>Wind</t>
        </is>
      </c>
      <c r="E118" s="7" t="inlineStr">
        <is>
          <t>Engie Brasil Energia</t>
        </is>
      </c>
      <c r="F118" s="13" t="inlineStr">
        <is>
          <t>H</t>
        </is>
      </c>
      <c r="G118" s="21" t="n">
        <v>67.59999999999999</v>
      </c>
      <c r="H118" s="10">
        <f>G118/Assumptions!$B$7</f>
        <v/>
      </c>
      <c r="I118" s="22">
        <f>G118*1000*Assumptions!$B$8/1000000</f>
        <v/>
      </c>
      <c r="J118" s="23" t="n">
        <v>40.2</v>
      </c>
      <c r="K118" s="10" t="n">
        <v>0.6272689085676731</v>
      </c>
      <c r="L118" s="8" t="n">
        <v>59</v>
      </c>
      <c r="M118" s="7" t="inlineStr">
        <is>
          <t>CENTRAIS EOLICAS CAETITE S.A; CENTRAIS EOLICAS SERRA DO ESPINHACO S.A; CENTRAIS EOLICAS ESPIGAO S.A</t>
        </is>
      </c>
    </row>
    <row r="119">
      <c r="A119" s="4" t="n">
        <v>115</v>
      </c>
      <c r="B119" s="5" t="inlineStr">
        <is>
          <t>FOTOVOLTAICO BARREIRAS II</t>
        </is>
      </c>
      <c r="C119" s="4" t="inlineStr">
        <is>
          <t>BA</t>
        </is>
      </c>
      <c r="D119" s="4" t="inlineStr">
        <is>
          <t>Solar</t>
        </is>
      </c>
      <c r="E119" s="7" t="inlineStr">
        <is>
          <t>— unmapped —</t>
        </is>
      </c>
      <c r="F119" s="14" t="inlineStr">
        <is>
          <t>L</t>
        </is>
      </c>
      <c r="G119" s="21" t="n">
        <v>67</v>
      </c>
      <c r="H119" s="10">
        <f>G119/Assumptions!$B$7</f>
        <v/>
      </c>
      <c r="I119" s="22">
        <f>G119*1000*Assumptions!$B$8/1000000</f>
        <v/>
      </c>
      <c r="J119" s="23" t="n">
        <v>41.4</v>
      </c>
      <c r="K119" s="10" t="n">
        <v>0.6182814661677024</v>
      </c>
      <c r="L119" s="8" t="n">
        <v>0</v>
      </c>
      <c r="M119" s="7" t="inlineStr"/>
    </row>
    <row r="120">
      <c r="A120" s="4" t="n">
        <v>116</v>
      </c>
      <c r="B120" s="5" t="inlineStr">
        <is>
          <t>REI DOS VENTOS 3</t>
        </is>
      </c>
      <c r="C120" s="4" t="inlineStr">
        <is>
          <t>RN</t>
        </is>
      </c>
      <c r="D120" s="4" t="inlineStr">
        <is>
          <t>Wind</t>
        </is>
      </c>
      <c r="E120" s="7" t="inlineStr">
        <is>
          <t>— unmapped —</t>
        </is>
      </c>
      <c r="F120" s="14" t="inlineStr">
        <is>
          <t>L</t>
        </is>
      </c>
      <c r="G120" s="21" t="n">
        <v>66.59999999999999</v>
      </c>
      <c r="H120" s="10">
        <f>G120/Assumptions!$B$7</f>
        <v/>
      </c>
      <c r="I120" s="22">
        <f>G120*1000*Assumptions!$B$8/1000000</f>
        <v/>
      </c>
      <c r="J120" s="23" t="n">
        <v>40.4</v>
      </c>
      <c r="K120" s="10" t="n">
        <v>0.6225337670981588</v>
      </c>
      <c r="L120" s="8" t="n">
        <v>0</v>
      </c>
      <c r="M120" s="7" t="inlineStr"/>
    </row>
    <row r="121">
      <c r="A121" s="4" t="n">
        <v>117</v>
      </c>
      <c r="B121" s="5" t="inlineStr">
        <is>
          <t>GAMELEIRA</t>
        </is>
      </c>
      <c r="C121" s="4" t="inlineStr">
        <is>
          <t>RN</t>
        </is>
      </c>
      <c r="D121" s="4" t="inlineStr">
        <is>
          <t>Wind</t>
        </is>
      </c>
      <c r="E121" s="7" t="inlineStr">
        <is>
          <t>SPE COSTA DAS DUNAS ENERGIA S.A. (SPE only)</t>
        </is>
      </c>
      <c r="F121" s="14" t="inlineStr">
        <is>
          <t>L</t>
        </is>
      </c>
      <c r="G121" s="21" t="n">
        <v>66.2</v>
      </c>
      <c r="H121" s="10">
        <f>G121/Assumptions!$B$7</f>
        <v/>
      </c>
      <c r="I121" s="22">
        <f>G121*1000*Assumptions!$B$8/1000000</f>
        <v/>
      </c>
      <c r="J121" s="23" t="n">
        <v>60.3</v>
      </c>
      <c r="K121" s="10" t="n">
        <v>0.5235823596966188</v>
      </c>
      <c r="L121" s="8" t="n">
        <v>82</v>
      </c>
      <c r="M121" s="7" t="inlineStr">
        <is>
          <t>SPE COSTA DAS DUNAS ENERGIA S.A.; SPE FAROL DE TOUROS ENERGIA S.A.; SPE FIGUEIRA BRANCA ENERGIA LTDA.</t>
        </is>
      </c>
    </row>
    <row r="122">
      <c r="A122" s="4" t="n">
        <v>118</v>
      </c>
      <c r="B122" s="5" t="inlineStr">
        <is>
          <t>BABILONIA CENTRO</t>
        </is>
      </c>
      <c r="C122" s="4" t="inlineStr">
        <is>
          <t>BA</t>
        </is>
      </c>
      <c r="D122" s="4" t="inlineStr">
        <is>
          <t>Wind</t>
        </is>
      </c>
      <c r="E122" s="7" t="inlineStr">
        <is>
          <t>Casa dos Ventos</t>
        </is>
      </c>
      <c r="F122" s="6" t="inlineStr">
        <is>
          <t>M</t>
        </is>
      </c>
      <c r="G122" s="21" t="n">
        <v>65.3</v>
      </c>
      <c r="H122" s="10">
        <f>G122/Assumptions!$B$7</f>
        <v/>
      </c>
      <c r="I122" s="22">
        <f>G122*1000*Assumptions!$B$8/1000000</f>
        <v/>
      </c>
      <c r="J122" s="23" t="n">
        <v>142.5</v>
      </c>
      <c r="K122" s="10" t="n">
        <v>0.3143126879466704</v>
      </c>
      <c r="L122" s="8" t="n">
        <v>753</v>
      </c>
      <c r="M122" s="7" t="inlineStr">
        <is>
          <t>Ventos de Santa Felicidade Energias Renováveis S.A.; Ventos de São Julião Energias Renováveis S.A.; Ventos de São Raimundo Energias Renováveis S.A.</t>
        </is>
      </c>
    </row>
    <row r="123">
      <c r="A123" s="4" t="n">
        <v>119</v>
      </c>
      <c r="B123" s="5" t="inlineStr">
        <is>
          <t>TUCANO</t>
        </is>
      </c>
      <c r="C123" s="4" t="inlineStr">
        <is>
          <t>BA</t>
        </is>
      </c>
      <c r="D123" s="4" t="inlineStr">
        <is>
          <t>Wind</t>
        </is>
      </c>
      <c r="E123" s="7" t="inlineStr">
        <is>
          <t>TUCANO F2 GERACAO DE ENERGIAS SPE S.A. (SPE only)</t>
        </is>
      </c>
      <c r="F123" s="14" t="inlineStr">
        <is>
          <t>L</t>
        </is>
      </c>
      <c r="G123" s="21" t="n">
        <v>64.5</v>
      </c>
      <c r="H123" s="10">
        <f>G123/Assumptions!$B$7</f>
        <v/>
      </c>
      <c r="I123" s="22">
        <f>G123*1000*Assumptions!$B$8/1000000</f>
        <v/>
      </c>
      <c r="J123" s="23" t="n">
        <v>94.8</v>
      </c>
      <c r="K123" s="10" t="n">
        <v>0.4050490134413344</v>
      </c>
      <c r="L123" s="8" t="n">
        <v>322</v>
      </c>
      <c r="M123" s="7" t="inlineStr">
        <is>
          <t>TUCANO F2 GERACAO DE ENERGIAS SPE S.A.; TUCANO F3 GERACAO DE ENERGIAS SPE S.A.; TUCANO F4 GERACAO DE ENERGIAS SPE S.A.</t>
        </is>
      </c>
    </row>
    <row r="124">
      <c r="A124" s="4" t="n">
        <v>120</v>
      </c>
      <c r="B124" s="5" t="inlineStr">
        <is>
          <t>SERRA AZUL</t>
        </is>
      </c>
      <c r="C124" s="4" t="inlineStr">
        <is>
          <t>BA</t>
        </is>
      </c>
      <c r="D124" s="4" t="inlineStr">
        <is>
          <t>Wind</t>
        </is>
      </c>
      <c r="E124" s="7" t="inlineStr">
        <is>
          <t>Enel Green Power Brasil</t>
        </is>
      </c>
      <c r="F124" s="13" t="inlineStr">
        <is>
          <t>H</t>
        </is>
      </c>
      <c r="G124" s="21" t="n">
        <v>64.40000000000001</v>
      </c>
      <c r="H124" s="10">
        <f>G124/Assumptions!$B$7</f>
        <v/>
      </c>
      <c r="I124" s="22">
        <f>G124*1000*Assumptions!$B$8/1000000</f>
        <v/>
      </c>
      <c r="J124" s="23" t="n">
        <v>74.8</v>
      </c>
      <c r="K124" s="10" t="n">
        <v>0.4627475844230783</v>
      </c>
      <c r="L124" s="8" t="n">
        <v>118</v>
      </c>
      <c r="M124" s="7" t="inlineStr">
        <is>
          <t>ENEL GREEN POWER DOIS RIACHOS EOLICA S.A.; ENEL GREEN POWER MANICOBA EOLICA S.A.; ENEL GREEN POWER DAMASCENA EOLICA S.A.</t>
        </is>
      </c>
    </row>
    <row r="125">
      <c r="A125" s="4" t="n">
        <v>121</v>
      </c>
      <c r="B125" s="5" t="inlineStr">
        <is>
          <t>CRISTALANDIA</t>
        </is>
      </c>
      <c r="C125" s="4" t="inlineStr">
        <is>
          <t>BA</t>
        </is>
      </c>
      <c r="D125" s="4" t="inlineStr">
        <is>
          <t>Wind</t>
        </is>
      </c>
      <c r="E125" s="7" t="inlineStr">
        <is>
          <t>CRISTALANDIA II EOLICA S.A. (SPE only)</t>
        </is>
      </c>
      <c r="F125" s="14" t="inlineStr">
        <is>
          <t>L</t>
        </is>
      </c>
      <c r="G125" s="21" t="n">
        <v>63.6</v>
      </c>
      <c r="H125" s="10">
        <f>G125/Assumptions!$B$7</f>
        <v/>
      </c>
      <c r="I125" s="22">
        <f>G125*1000*Assumptions!$B$8/1000000</f>
        <v/>
      </c>
      <c r="J125" s="23" t="n">
        <v>46.8</v>
      </c>
      <c r="K125" s="10" t="n">
        <v>0.5762746256791359</v>
      </c>
      <c r="L125" s="8" t="n">
        <v>90</v>
      </c>
      <c r="M125" s="7" t="inlineStr">
        <is>
          <t>CRISTALANDIA II EOLICA S.A.; CRISTALANDIA I EOLICA S.A.</t>
        </is>
      </c>
    </row>
    <row r="126">
      <c r="A126" s="4" t="n">
        <v>122</v>
      </c>
      <c r="B126" s="5" t="inlineStr">
        <is>
          <t>LAVRAS</t>
        </is>
      </c>
      <c r="C126" s="4" t="inlineStr">
        <is>
          <t>CE</t>
        </is>
      </c>
      <c r="D126" s="4" t="inlineStr">
        <is>
          <t>Solar</t>
        </is>
      </c>
      <c r="E126" s="7" t="inlineStr">
        <is>
          <t>LAVRAS 1 SOLAR ENERGIAS RENOVAVEIS S.A. (SPE only)</t>
        </is>
      </c>
      <c r="F126" s="14" t="inlineStr">
        <is>
          <t>L</t>
        </is>
      </c>
      <c r="G126" s="21" t="n">
        <v>63.2</v>
      </c>
      <c r="H126" s="10">
        <f>G126/Assumptions!$B$7</f>
        <v/>
      </c>
      <c r="I126" s="22">
        <f>G126*1000*Assumptions!$B$8/1000000</f>
        <v/>
      </c>
      <c r="J126" s="23" t="n">
        <v>115.9</v>
      </c>
      <c r="K126" s="10" t="n">
        <v>0.3527934583686816</v>
      </c>
      <c r="L126" s="8" t="n">
        <v>201</v>
      </c>
      <c r="M126" s="7" t="inlineStr">
        <is>
          <t>LAVRAS 1 SOLAR ENERGIAS RENOVAVEIS S.A.; LAVRAS 2 SOLAR ENERGIAS RENOVAVEIS S.A.; LAVRAS 3 SOLAR ENERGIAS RENOVAVEIS S.A.</t>
        </is>
      </c>
    </row>
    <row r="127">
      <c r="A127" s="4" t="n">
        <v>123</v>
      </c>
      <c r="B127" s="5" t="inlineStr">
        <is>
          <t>QUINA</t>
        </is>
      </c>
      <c r="C127" s="4" t="inlineStr">
        <is>
          <t>BA</t>
        </is>
      </c>
      <c r="D127" s="4" t="inlineStr">
        <is>
          <t>Wind</t>
        </is>
      </c>
      <c r="E127" s="7" t="inlineStr">
        <is>
          <t>— unmapped —</t>
        </is>
      </c>
      <c r="F127" s="14" t="inlineStr">
        <is>
          <t>L</t>
        </is>
      </c>
      <c r="G127" s="21" t="n">
        <v>61.4</v>
      </c>
      <c r="H127" s="10">
        <f>G127/Assumptions!$B$7</f>
        <v/>
      </c>
      <c r="I127" s="22">
        <f>G127*1000*Assumptions!$B$8/1000000</f>
        <v/>
      </c>
      <c r="J127" s="23" t="n">
        <v>16.4</v>
      </c>
      <c r="K127" s="10" t="n">
        <v>0.7890480681412695</v>
      </c>
      <c r="L127" s="8" t="n">
        <v>0</v>
      </c>
      <c r="M127" s="7" t="inlineStr"/>
    </row>
    <row r="128">
      <c r="A128" s="4" t="n">
        <v>124</v>
      </c>
      <c r="B128" s="5" t="inlineStr">
        <is>
          <t>MIASSABA 3</t>
        </is>
      </c>
      <c r="C128" s="4" t="inlineStr">
        <is>
          <t>RN</t>
        </is>
      </c>
      <c r="D128" s="4" t="inlineStr">
        <is>
          <t>Wind</t>
        </is>
      </c>
      <c r="E128" s="7" t="inlineStr">
        <is>
          <t>— unmapped —</t>
        </is>
      </c>
      <c r="F128" s="14" t="inlineStr">
        <is>
          <t>L</t>
        </is>
      </c>
      <c r="G128" s="21" t="n">
        <v>61.3</v>
      </c>
      <c r="H128" s="10">
        <f>G128/Assumptions!$B$7</f>
        <v/>
      </c>
      <c r="I128" s="22">
        <f>G128*1000*Assumptions!$B$8/1000000</f>
        <v/>
      </c>
      <c r="J128" s="23" t="n">
        <v>43.9</v>
      </c>
      <c r="K128" s="10" t="n">
        <v>0.5826712923874405</v>
      </c>
      <c r="L128" s="8" t="n">
        <v>0</v>
      </c>
      <c r="M128" s="7" t="inlineStr"/>
    </row>
    <row r="129">
      <c r="A129" s="4" t="n">
        <v>125</v>
      </c>
      <c r="B129" s="5" t="inlineStr">
        <is>
          <t>CARCARA II</t>
        </is>
      </c>
      <c r="C129" s="4" t="inlineStr">
        <is>
          <t>RN</t>
        </is>
      </c>
      <c r="D129" s="4" t="inlineStr">
        <is>
          <t>Wind</t>
        </is>
      </c>
      <c r="E129" s="7" t="inlineStr">
        <is>
          <t>— unmapped —</t>
        </is>
      </c>
      <c r="F129" s="14" t="inlineStr">
        <is>
          <t>L</t>
        </is>
      </c>
      <c r="G129" s="21" t="n">
        <v>60.7</v>
      </c>
      <c r="H129" s="10">
        <f>G129/Assumptions!$B$7</f>
        <v/>
      </c>
      <c r="I129" s="22">
        <f>G129*1000*Assumptions!$B$8/1000000</f>
        <v/>
      </c>
      <c r="J129" s="23" t="n">
        <v>8.199999999999999</v>
      </c>
      <c r="K129" s="10" t="n">
        <v>0.8814638977758581</v>
      </c>
      <c r="L129" s="8" t="n">
        <v>0</v>
      </c>
      <c r="M129" s="7" t="inlineStr"/>
    </row>
    <row r="130">
      <c r="A130" s="4" t="n">
        <v>126</v>
      </c>
      <c r="B130" s="5" t="inlineStr">
        <is>
          <t>MORRO DO CHAPEU SUL</t>
        </is>
      </c>
      <c r="C130" s="4" t="inlineStr">
        <is>
          <t>BA</t>
        </is>
      </c>
      <c r="D130" s="4" t="inlineStr">
        <is>
          <t>Wind</t>
        </is>
      </c>
      <c r="E130" s="7" t="inlineStr">
        <is>
          <t>Enel Green Power Brasil</t>
        </is>
      </c>
      <c r="F130" s="13" t="inlineStr">
        <is>
          <t>H</t>
        </is>
      </c>
      <c r="G130" s="21" t="n">
        <v>57.6</v>
      </c>
      <c r="H130" s="10">
        <f>G130/Assumptions!$B$7</f>
        <v/>
      </c>
      <c r="I130" s="22">
        <f>G130*1000*Assumptions!$B$8/1000000</f>
        <v/>
      </c>
      <c r="J130" s="23" t="n">
        <v>88.3</v>
      </c>
      <c r="K130" s="10" t="n">
        <v>0.3949103804457796</v>
      </c>
      <c r="L130" s="8" t="n">
        <v>172</v>
      </c>
      <c r="M130" s="7" t="inlineStr">
        <is>
          <t>ENEL GREEN POWER MORRO DO CHAPEU II EOLICA S.A; ENEL GREEN POWER MORRO DO CHAPEU I EOLICA S.A.; ENEL GREEN POWER BOA VISTA EOLICA S A</t>
        </is>
      </c>
    </row>
    <row r="131">
      <c r="A131" s="4" t="n">
        <v>127</v>
      </c>
      <c r="B131" s="5" t="inlineStr">
        <is>
          <t>PEDRA BRANCA</t>
        </is>
      </c>
      <c r="C131" s="4" t="inlineStr">
        <is>
          <t>BA</t>
        </is>
      </c>
      <c r="D131" s="4" t="inlineStr">
        <is>
          <t>Wind</t>
        </is>
      </c>
      <c r="E131" s="7" t="inlineStr">
        <is>
          <t>PEDRA BRANCA S.A. (SPE only)</t>
        </is>
      </c>
      <c r="F131" s="14" t="inlineStr">
        <is>
          <t>L</t>
        </is>
      </c>
      <c r="G131" s="21" t="n">
        <v>57.2</v>
      </c>
      <c r="H131" s="10">
        <f>G131/Assumptions!$B$7</f>
        <v/>
      </c>
      <c r="I131" s="22">
        <f>G131*1000*Assumptions!$B$8/1000000</f>
        <v/>
      </c>
      <c r="J131" s="23" t="n">
        <v>83.3</v>
      </c>
      <c r="K131" s="10" t="n">
        <v>0.4072694784802101</v>
      </c>
      <c r="L131" s="8" t="n">
        <v>249</v>
      </c>
      <c r="M131" s="7" t="inlineStr">
        <is>
          <t>Pedra Branca S.A.; SETE GAMELEIRAS S/A; São Pedro do Lago S.A</t>
        </is>
      </c>
    </row>
    <row r="132">
      <c r="A132" s="4" t="n">
        <v>128</v>
      </c>
      <c r="B132" s="5" t="inlineStr">
        <is>
          <t>CHAPADA I</t>
        </is>
      </c>
      <c r="C132" s="4" t="inlineStr">
        <is>
          <t>PI</t>
        </is>
      </c>
      <c r="D132" s="4" t="inlineStr">
        <is>
          <t>Wind</t>
        </is>
      </c>
      <c r="E132" s="7" t="inlineStr">
        <is>
          <t>Casa dos Ventos</t>
        </is>
      </c>
      <c r="F132" s="6" t="inlineStr">
        <is>
          <t>M</t>
        </is>
      </c>
      <c r="G132" s="21" t="n">
        <v>57.1</v>
      </c>
      <c r="H132" s="10">
        <f>G132/Assumptions!$B$7</f>
        <v/>
      </c>
      <c r="I132" s="22">
        <f>G132*1000*Assumptions!$B$8/1000000</f>
        <v/>
      </c>
      <c r="J132" s="23" t="n">
        <v>81.5</v>
      </c>
      <c r="K132" s="10" t="n">
        <v>0.4120536869831705</v>
      </c>
      <c r="L132" s="8" t="n">
        <v>210</v>
      </c>
      <c r="M132" s="7" t="inlineStr">
        <is>
          <t>VENTOS DE SANTA JOANA II ENERGIAS RENOVAVEIS S.A.; VENTOS DE SANTO ONOFRE II ENERGIAS RENOVAVEIS S.A.; VENTOS DE SANTO ONOFRE I ENERGIAS RENOVAVEIS S.A.</t>
        </is>
      </c>
    </row>
    <row r="133">
      <c r="A133" s="4" t="n">
        <v>129</v>
      </c>
      <c r="B133" s="5" t="inlineStr">
        <is>
          <t>CAETES II</t>
        </is>
      </c>
      <c r="C133" s="4" t="inlineStr">
        <is>
          <t>PE</t>
        </is>
      </c>
      <c r="D133" s="4" t="inlineStr">
        <is>
          <t>Wind</t>
        </is>
      </c>
      <c r="E133" s="7" t="inlineStr">
        <is>
          <t>Casa dos Ventos</t>
        </is>
      </c>
      <c r="F133" s="6" t="inlineStr">
        <is>
          <t>M</t>
        </is>
      </c>
      <c r="G133" s="21" t="n">
        <v>56.9</v>
      </c>
      <c r="H133" s="10">
        <f>G133/Assumptions!$B$7</f>
        <v/>
      </c>
      <c r="I133" s="22">
        <f>G133*1000*Assumptions!$B$8/1000000</f>
        <v/>
      </c>
      <c r="J133" s="23" t="n">
        <v>92.8</v>
      </c>
      <c r="K133" s="10" t="n">
        <v>0.3800611102779403</v>
      </c>
      <c r="L133" s="8" t="n">
        <v>182</v>
      </c>
      <c r="M133" s="7" t="inlineStr">
        <is>
          <t>VENTOS DE SANTA BRIGIDA V ENERGIAS RENOVAVEIS S.A; VENTOS DE SANTA BRIGIDA VI ENERGIAS RENOVAVEIS S.A; VENTOS DE SANTA BRIGIDA III ENERGIAS RENOVAVEIS S.A</t>
        </is>
      </c>
    </row>
    <row r="134">
      <c r="A134" s="4" t="n">
        <v>130</v>
      </c>
      <c r="B134" s="5" t="inlineStr">
        <is>
          <t>PELOURINHO</t>
        </is>
      </c>
      <c r="C134" s="4" t="inlineStr">
        <is>
          <t>BA</t>
        </is>
      </c>
      <c r="D134" s="4" t="inlineStr">
        <is>
          <t>Wind</t>
        </is>
      </c>
      <c r="E134" s="7" t="inlineStr">
        <is>
          <t>CENTRAIS EOLICAS PELOURINHO S.A (SPE only)</t>
        </is>
      </c>
      <c r="F134" s="14" t="inlineStr">
        <is>
          <t>L</t>
        </is>
      </c>
      <c r="G134" s="21" t="n">
        <v>52.6</v>
      </c>
      <c r="H134" s="10">
        <f>G134/Assumptions!$B$7</f>
        <v/>
      </c>
      <c r="I134" s="22">
        <f>G134*1000*Assumptions!$B$8/1000000</f>
        <v/>
      </c>
      <c r="J134" s="23" t="n">
        <v>28.9</v>
      </c>
      <c r="K134" s="10" t="n">
        <v>0.6455575942226182</v>
      </c>
      <c r="L134" s="8" t="n">
        <v>42</v>
      </c>
      <c r="M134" s="7" t="inlineStr">
        <is>
          <t>CENTRAIS EOLICAS PELOURINHO S.A; CENTRAIS EOLICAS BORGO S.A</t>
        </is>
      </c>
    </row>
    <row r="135">
      <c r="A135" s="4" t="n">
        <v>131</v>
      </c>
      <c r="B135" s="5" t="inlineStr">
        <is>
          <t>PRAIA FORMOSA</t>
        </is>
      </c>
      <c r="C135" s="4" t="inlineStr">
        <is>
          <t>CE</t>
        </is>
      </c>
      <c r="D135" s="4" t="inlineStr">
        <is>
          <t>Wind</t>
        </is>
      </c>
      <c r="E135" s="7" t="inlineStr">
        <is>
          <t>— unmapped —</t>
        </is>
      </c>
      <c r="F135" s="14" t="inlineStr">
        <is>
          <t>L</t>
        </is>
      </c>
      <c r="G135" s="21" t="n">
        <v>52.3</v>
      </c>
      <c r="H135" s="10">
        <f>G135/Assumptions!$B$7</f>
        <v/>
      </c>
      <c r="I135" s="22">
        <f>G135*1000*Assumptions!$B$8/1000000</f>
        <v/>
      </c>
      <c r="J135" s="23" t="n">
        <v>76.40000000000001</v>
      </c>
      <c r="K135" s="10" t="n">
        <v>0.4063090558018941</v>
      </c>
      <c r="L135" s="8" t="n">
        <v>0</v>
      </c>
      <c r="M135" s="7" t="inlineStr"/>
    </row>
    <row r="136">
      <c r="A136" s="4" t="n">
        <v>132</v>
      </c>
      <c r="B136" s="5" t="inlineStr">
        <is>
          <t>SAO BASILIO</t>
        </is>
      </c>
      <c r="C136" s="4" t="inlineStr">
        <is>
          <t>PI</t>
        </is>
      </c>
      <c r="D136" s="4" t="inlineStr">
        <is>
          <t>Solar</t>
        </is>
      </c>
      <c r="E136" s="7" t="inlineStr">
        <is>
          <t>Casa dos Ventos / Mossoró II SPEs</t>
        </is>
      </c>
      <c r="F136" s="6" t="inlineStr">
        <is>
          <t>M</t>
        </is>
      </c>
      <c r="G136" s="21" t="n">
        <v>52.2</v>
      </c>
      <c r="H136" s="10">
        <f>G136/Assumptions!$B$7</f>
        <v/>
      </c>
      <c r="I136" s="22">
        <f>G136*1000*Assumptions!$B$8/1000000</f>
        <v/>
      </c>
      <c r="J136" s="23" t="n">
        <v>138.1</v>
      </c>
      <c r="K136" s="10" t="n">
        <v>0.2741272936979458</v>
      </c>
      <c r="L136" s="8" t="n">
        <v>402</v>
      </c>
      <c r="M136" s="7" t="inlineStr">
        <is>
          <t>CENTRAL GERADORA EOLICA BRITE S.A; CENTRAL GERADORA EOLICA COLIBRI S.A; CENTRAL GERADORA EOLICA CAICARA S.A.</t>
        </is>
      </c>
    </row>
    <row r="137">
      <c r="A137" s="4" t="n">
        <v>133</v>
      </c>
      <c r="B137" s="5" t="inlineStr">
        <is>
          <t>BABILONIA</t>
        </is>
      </c>
      <c r="C137" s="4" t="inlineStr">
        <is>
          <t>BA</t>
        </is>
      </c>
      <c r="D137" s="4" t="inlineStr">
        <is>
          <t>Wind</t>
        </is>
      </c>
      <c r="E137" s="7" t="inlineStr">
        <is>
          <t>CENTRAL EOLICA BABILONIA V S.A. (SPE only)</t>
        </is>
      </c>
      <c r="F137" s="14" t="inlineStr">
        <is>
          <t>L</t>
        </is>
      </c>
      <c r="G137" s="21" t="n">
        <v>52</v>
      </c>
      <c r="H137" s="10">
        <f>G137/Assumptions!$B$7</f>
        <v/>
      </c>
      <c r="I137" s="22">
        <f>G137*1000*Assumptions!$B$8/1000000</f>
        <v/>
      </c>
      <c r="J137" s="23" t="n">
        <v>69.90000000000001</v>
      </c>
      <c r="K137" s="10" t="n">
        <v>0.4266320057588655</v>
      </c>
      <c r="L137" s="8" t="n">
        <v>136</v>
      </c>
      <c r="M137" s="7" t="inlineStr">
        <is>
          <t>CENTRAL EOLICA BABILONIA V S.A.; CENTRAL EOLICA BABILONIA I S.A.; CENTRAL EOLICA BABILONIA II S.A.</t>
        </is>
      </c>
    </row>
    <row r="138">
      <c r="A138" s="4" t="n">
        <v>134</v>
      </c>
      <c r="B138" s="5" t="inlineStr">
        <is>
          <t>BRIGIDA</t>
        </is>
      </c>
      <c r="C138" s="4" t="inlineStr">
        <is>
          <t>PE</t>
        </is>
      </c>
      <c r="D138" s="4" t="inlineStr">
        <is>
          <t>Solar</t>
        </is>
      </c>
      <c r="E138" s="7" t="inlineStr">
        <is>
          <t>BON NOME SOLAR S.A. (SPE only)</t>
        </is>
      </c>
      <c r="F138" s="14" t="inlineStr">
        <is>
          <t>L</t>
        </is>
      </c>
      <c r="G138" s="21" t="n">
        <v>51.5</v>
      </c>
      <c r="H138" s="10">
        <f>G138/Assumptions!$B$7</f>
        <v/>
      </c>
      <c r="I138" s="22">
        <f>G138*1000*Assumptions!$B$8/1000000</f>
        <v/>
      </c>
      <c r="J138" s="23" t="n">
        <v>46.4</v>
      </c>
      <c r="K138" s="10" t="n">
        <v>0.5261263878928505</v>
      </c>
      <c r="L138" s="8" t="n">
        <v>163</v>
      </c>
      <c r="M138" s="7" t="inlineStr">
        <is>
          <t>BON NOME SOLAR S.A.; BRIGIDA SOLAR SPE S.A.; BRIGIDA 2 SOLAR SPE S.A.</t>
        </is>
      </c>
    </row>
    <row r="139">
      <c r="A139" s="4" t="n">
        <v>135</v>
      </c>
      <c r="B139" s="5" t="inlineStr">
        <is>
          <t>BOA SORTE</t>
        </is>
      </c>
      <c r="C139" s="4" t="inlineStr">
        <is>
          <t>MG</t>
        </is>
      </c>
      <c r="D139" s="4" t="inlineStr">
        <is>
          <t>Solar</t>
        </is>
      </c>
      <c r="E139" s="7" t="inlineStr">
        <is>
          <t>CENTRAL FOTOVOLTAICA BOA SORTE 1 SPE LTD (SPE only)</t>
        </is>
      </c>
      <c r="F139" s="14" t="inlineStr">
        <is>
          <t>L</t>
        </is>
      </c>
      <c r="G139" s="21" t="n">
        <v>51.3</v>
      </c>
      <c r="H139" s="10">
        <f>G139/Assumptions!$B$7</f>
        <v/>
      </c>
      <c r="I139" s="22">
        <f>G139*1000*Assumptions!$B$8/1000000</f>
        <v/>
      </c>
      <c r="J139" s="23" t="n">
        <v>197</v>
      </c>
      <c r="K139" s="10" t="n">
        <v>0.2065555750967554</v>
      </c>
      <c r="L139" s="8" t="n">
        <v>353</v>
      </c>
      <c r="M139" s="7" t="inlineStr">
        <is>
          <t>CENTRAL FOTOVOLTAICA BOA SORTE 1 SPE LTDA.; CENTRAL FOTOVOLTAICA BOA SORTE 2 SPE LTDA.; CENTRAL FOTOVOLTAICA BOA SORTE 3 SPE LTDA.</t>
        </is>
      </c>
    </row>
    <row r="140">
      <c r="A140" s="4" t="n">
        <v>136</v>
      </c>
      <c r="B140" s="5" t="inlineStr">
        <is>
          <t>JAIBA 4 (DISTRIBUICAO)</t>
        </is>
      </c>
      <c r="C140" s="4" t="inlineStr">
        <is>
          <t>MG</t>
        </is>
      </c>
      <c r="D140" s="4" t="inlineStr">
        <is>
          <t>Solar</t>
        </is>
      </c>
      <c r="E140" s="7" t="inlineStr">
        <is>
          <t>Solar MG SPEs</t>
        </is>
      </c>
      <c r="F140" s="6" t="inlineStr">
        <is>
          <t>M</t>
        </is>
      </c>
      <c r="G140" s="21" t="n">
        <v>51</v>
      </c>
      <c r="H140" s="10">
        <f>G140/Assumptions!$B$7</f>
        <v/>
      </c>
      <c r="I140" s="22">
        <f>G140*1000*Assumptions!$B$8/1000000</f>
        <v/>
      </c>
      <c r="J140" s="23" t="n">
        <v>87.7</v>
      </c>
      <c r="K140" s="10" t="n">
        <v>0.3680247077947844</v>
      </c>
      <c r="L140" s="8" t="n">
        <v>128</v>
      </c>
      <c r="M140" s="7" t="inlineStr">
        <is>
          <t>JAIBA 3 ENERGIAS RENOVAVEIS S.A.; JAIBA 4 ENERGIAS RENOVAVEIS S.A.; JAIBA 9 ENERGIAS RENOVAVEIS S.A.</t>
        </is>
      </c>
    </row>
    <row r="141">
      <c r="A141" s="4" t="n">
        <v>137</v>
      </c>
      <c r="B141" s="5" t="inlineStr">
        <is>
          <t>ACARAU II</t>
        </is>
      </c>
      <c r="C141" s="4" t="inlineStr">
        <is>
          <t>CE</t>
        </is>
      </c>
      <c r="D141" s="4" t="inlineStr">
        <is>
          <t>Wind</t>
        </is>
      </c>
      <c r="E141" s="7" t="inlineStr">
        <is>
          <t>CENTRAL EOLICA PRAIA DO MORGADO S/A (SPE only)</t>
        </is>
      </c>
      <c r="F141" s="14" t="inlineStr">
        <is>
          <t>L</t>
        </is>
      </c>
      <c r="G141" s="21" t="n">
        <v>50.4</v>
      </c>
      <c r="H141" s="10">
        <f>G141/Assumptions!$B$7</f>
        <v/>
      </c>
      <c r="I141" s="22">
        <f>G141*1000*Assumptions!$B$8/1000000</f>
        <v/>
      </c>
      <c r="J141" s="23" t="n">
        <v>61.1</v>
      </c>
      <c r="K141" s="10" t="n">
        <v>0.452086686444835</v>
      </c>
      <c r="L141" s="8" t="n">
        <v>71</v>
      </c>
      <c r="M141" s="7" t="inlineStr">
        <is>
          <t>CENTRAL EOLICA PRAIA DO MORGADO S/A; CENTRAL EOLICA VOLTA DO RIO S/A</t>
        </is>
      </c>
    </row>
    <row r="142">
      <c r="A142" s="4" t="n">
        <v>138</v>
      </c>
      <c r="B142" s="5" t="inlineStr">
        <is>
          <t>BW GUIRAPA I</t>
        </is>
      </c>
      <c r="C142" s="4" t="inlineStr">
        <is>
          <t>BA</t>
        </is>
      </c>
      <c r="D142" s="4" t="inlineStr">
        <is>
          <t>Wind</t>
        </is>
      </c>
      <c r="E142" s="7" t="inlineStr">
        <is>
          <t>CENTRAL EOLICA TEIU S/A (SPE only)</t>
        </is>
      </c>
      <c r="F142" s="14" t="inlineStr">
        <is>
          <t>L</t>
        </is>
      </c>
      <c r="G142" s="21" t="n">
        <v>50</v>
      </c>
      <c r="H142" s="10">
        <f>G142/Assumptions!$B$7</f>
        <v/>
      </c>
      <c r="I142" s="22">
        <f>G142*1000*Assumptions!$B$8/1000000</f>
        <v/>
      </c>
      <c r="J142" s="23" t="n">
        <v>35.4</v>
      </c>
      <c r="K142" s="10" t="n">
        <v>0.5852962880820775</v>
      </c>
      <c r="L142" s="8" t="n">
        <v>89</v>
      </c>
      <c r="M142" s="7" t="inlineStr">
        <is>
          <t>CENTRAL EOLICA TEIU S/A; CENTRAL EOLICA ANGICAL S/A; CENTRAL EOLICA INHAMBU S/A</t>
        </is>
      </c>
    </row>
    <row r="143">
      <c r="A143" s="4" t="n">
        <v>139</v>
      </c>
      <c r="B143" s="5" t="inlineStr">
        <is>
          <t>REI DOS VENTOS 1</t>
        </is>
      </c>
      <c r="C143" s="4" t="inlineStr">
        <is>
          <t>RN</t>
        </is>
      </c>
      <c r="D143" s="4" t="inlineStr">
        <is>
          <t>Wind</t>
        </is>
      </c>
      <c r="E143" s="7" t="inlineStr">
        <is>
          <t>— unmapped —</t>
        </is>
      </c>
      <c r="F143" s="14" t="inlineStr">
        <is>
          <t>L</t>
        </is>
      </c>
      <c r="G143" s="21" t="n">
        <v>49.3</v>
      </c>
      <c r="H143" s="10">
        <f>G143/Assumptions!$B$7</f>
        <v/>
      </c>
      <c r="I143" s="22">
        <f>G143*1000*Assumptions!$B$8/1000000</f>
        <v/>
      </c>
      <c r="J143" s="23" t="n">
        <v>37.8</v>
      </c>
      <c r="K143" s="10" t="n">
        <v>0.5656772712242295</v>
      </c>
      <c r="L143" s="8" t="n">
        <v>0</v>
      </c>
      <c r="M143" s="7" t="inlineStr"/>
    </row>
    <row r="144">
      <c r="A144" s="4" t="n">
        <v>140</v>
      </c>
      <c r="B144" s="5" t="inlineStr">
        <is>
          <t>CONJUNTO EOLICO OUROLANDIA II</t>
        </is>
      </c>
      <c r="C144" s="4" t="inlineStr">
        <is>
          <t>BA</t>
        </is>
      </c>
      <c r="D144" s="4" t="inlineStr">
        <is>
          <t>Wind</t>
        </is>
      </c>
      <c r="E144" s="7" t="inlineStr">
        <is>
          <t>— unmapped —</t>
        </is>
      </c>
      <c r="F144" s="14" t="inlineStr">
        <is>
          <t>L</t>
        </is>
      </c>
      <c r="G144" s="21" t="n">
        <v>48.7</v>
      </c>
      <c r="H144" s="10">
        <f>G144/Assumptions!$B$7</f>
        <v/>
      </c>
      <c r="I144" s="22">
        <f>G144*1000*Assumptions!$B$8/1000000</f>
        <v/>
      </c>
      <c r="J144" s="23" t="n">
        <v>33.8</v>
      </c>
      <c r="K144" s="10" t="n">
        <v>0.5902268658421973</v>
      </c>
      <c r="L144" s="8" t="n">
        <v>0</v>
      </c>
      <c r="M144" s="7" t="inlineStr"/>
    </row>
    <row r="145">
      <c r="A145" s="4" t="n">
        <v>141</v>
      </c>
      <c r="B145" s="5" t="inlineStr">
        <is>
          <t>BW GUIRAPA II</t>
        </is>
      </c>
      <c r="C145" s="4" t="inlineStr">
        <is>
          <t>BA</t>
        </is>
      </c>
      <c r="D145" s="4" t="inlineStr">
        <is>
          <t>Wind</t>
        </is>
      </c>
      <c r="E145" s="7" t="inlineStr">
        <is>
          <t>CENTRAL EOLICA COQUEIRINHO S/A (SPE only)</t>
        </is>
      </c>
      <c r="F145" s="14" t="inlineStr">
        <is>
          <t>L</t>
        </is>
      </c>
      <c r="G145" s="21" t="n">
        <v>47.8</v>
      </c>
      <c r="H145" s="10">
        <f>G145/Assumptions!$B$7</f>
        <v/>
      </c>
      <c r="I145" s="22">
        <f>G145*1000*Assumptions!$B$8/1000000</f>
        <v/>
      </c>
      <c r="J145" s="23" t="n">
        <v>31.1</v>
      </c>
      <c r="K145" s="10" t="n">
        <v>0.6059911244879563</v>
      </c>
      <c r="L145" s="8" t="n">
        <v>81</v>
      </c>
      <c r="M145" s="7" t="inlineStr">
        <is>
          <t>CENTRAL EOLICA COQUEIRINHO S/A; CENTRAL EOLICA CAITITU S/A; CENTRAL EOLICA TAMANDUA MIRIM S/A</t>
        </is>
      </c>
    </row>
    <row r="146">
      <c r="A146" s="4" t="n">
        <v>142</v>
      </c>
      <c r="B146" s="5" t="inlineStr">
        <is>
          <t>CHAFARIZ SUL II</t>
        </is>
      </c>
      <c r="C146" s="4" t="inlineStr">
        <is>
          <t>PB</t>
        </is>
      </c>
      <c r="D146" s="4" t="inlineStr">
        <is>
          <t>Wind</t>
        </is>
      </c>
      <c r="E146" s="7" t="inlineStr">
        <is>
          <t>CHAFARIZ 1 ENERGIA RENOVÁVEL S.A. (SPE only)</t>
        </is>
      </c>
      <c r="F146" s="14" t="inlineStr">
        <is>
          <t>L</t>
        </is>
      </c>
      <c r="G146" s="21" t="n">
        <v>47.4</v>
      </c>
      <c r="H146" s="10">
        <f>G146/Assumptions!$B$7</f>
        <v/>
      </c>
      <c r="I146" s="22">
        <f>G146*1000*Assumptions!$B$8/1000000</f>
        <v/>
      </c>
      <c r="J146" s="23" t="n">
        <v>84.7</v>
      </c>
      <c r="K146" s="10" t="n">
        <v>0.3588483633020869</v>
      </c>
      <c r="L146" s="8" t="n">
        <v>170</v>
      </c>
      <c r="M146" s="7" t="inlineStr">
        <is>
          <t>CHAFARIZ 1 ENERGIA RENOVÁVEL S.A.; CHAFARIZ 2 ENERGIA RENOVÁVEL S.A.; CHAFARIZ 3 ENERGIA RENOVÁVEL S.A.</t>
        </is>
      </c>
    </row>
    <row r="147">
      <c r="A147" s="4" t="n">
        <v>143</v>
      </c>
      <c r="B147" s="5" t="inlineStr">
        <is>
          <t>HORIZONTE</t>
        </is>
      </c>
      <c r="C147" s="4" t="inlineStr">
        <is>
          <t>BA</t>
        </is>
      </c>
      <c r="D147" s="4" t="inlineStr">
        <is>
          <t>Solar</t>
        </is>
      </c>
      <c r="E147" s="7" t="inlineStr">
        <is>
          <t>Enel Green Power Brasil</t>
        </is>
      </c>
      <c r="F147" s="13" t="inlineStr">
        <is>
          <t>H</t>
        </is>
      </c>
      <c r="G147" s="21" t="n">
        <v>47.4</v>
      </c>
      <c r="H147" s="10">
        <f>G147/Assumptions!$B$7</f>
        <v/>
      </c>
      <c r="I147" s="22">
        <f>G147*1000*Assumptions!$B$8/1000000</f>
        <v/>
      </c>
      <c r="J147" s="23" t="n">
        <v>60.3</v>
      </c>
      <c r="K147" s="10" t="n">
        <v>0.4397856703412409</v>
      </c>
      <c r="L147" s="8" t="n">
        <v>80</v>
      </c>
      <c r="M147" s="7" t="inlineStr">
        <is>
          <t>ENEL GREEN POWER HORIZONTE MP SOLAR S.A.</t>
        </is>
      </c>
    </row>
    <row r="148">
      <c r="A148" s="4" t="n">
        <v>144</v>
      </c>
      <c r="B148" s="5" t="inlineStr">
        <is>
          <t>RIO ALTO</t>
        </is>
      </c>
      <c r="C148" s="4" t="inlineStr">
        <is>
          <t>PB</t>
        </is>
      </c>
      <c r="D148" s="4" t="inlineStr">
        <is>
          <t>Solar</t>
        </is>
      </c>
      <c r="E148" s="7" t="inlineStr">
        <is>
          <t>COREMAS I GERACAO DE ENERGIA SPE S.A (SPE only)</t>
        </is>
      </c>
      <c r="F148" s="14" t="inlineStr">
        <is>
          <t>L</t>
        </is>
      </c>
      <c r="G148" s="21" t="n">
        <v>46.9</v>
      </c>
      <c r="H148" s="10">
        <f>G148/Assumptions!$B$7</f>
        <v/>
      </c>
      <c r="I148" s="22">
        <f>G148*1000*Assumptions!$B$8/1000000</f>
        <v/>
      </c>
      <c r="J148" s="23" t="n">
        <v>98.3</v>
      </c>
      <c r="K148" s="10" t="n">
        <v>0.3228077171747468</v>
      </c>
      <c r="L148" s="8" t="n">
        <v>216</v>
      </c>
      <c r="M148" s="7" t="inlineStr">
        <is>
          <t>COREMAS I GERACAO DE ENERGIA SPE S.A; COREMAS III GERACAO DE ENERGIA SPE S.A; COREMAS IV GERACAO DE ENERGIA SPE LTDA</t>
        </is>
      </c>
    </row>
    <row r="149">
      <c r="A149" s="4" t="n">
        <v>145</v>
      </c>
      <c r="B149" s="5" t="inlineStr">
        <is>
          <t>FLORESTA</t>
        </is>
      </c>
      <c r="C149" s="4" t="inlineStr">
        <is>
          <t>RN</t>
        </is>
      </c>
      <c r="D149" s="4" t="inlineStr">
        <is>
          <t>Solar</t>
        </is>
      </c>
      <c r="E149" s="7" t="inlineStr">
        <is>
          <t>ENGIE SOLAR FLORESTA III GERACAO CENTRAL (SPE only)</t>
        </is>
      </c>
      <c r="F149" s="14" t="inlineStr">
        <is>
          <t>L</t>
        </is>
      </c>
      <c r="G149" s="21" t="n">
        <v>45.6</v>
      </c>
      <c r="H149" s="10">
        <f>G149/Assumptions!$B$7</f>
        <v/>
      </c>
      <c r="I149" s="22">
        <f>G149*1000*Assumptions!$B$8/1000000</f>
        <v/>
      </c>
      <c r="J149" s="23" t="n">
        <v>46.5</v>
      </c>
      <c r="K149" s="10" t="n">
        <v>0.4950460540901313</v>
      </c>
      <c r="L149" s="8" t="n">
        <v>86</v>
      </c>
      <c r="M149" s="7" t="inlineStr">
        <is>
          <t>ENGIE SOLAR FLORESTA III GERACAO CENTRALIZADA SPE S.A; ENGIE SOLAR FLORESTA II GERACAO CENTRALIZADA SPE S.A; ENGIE SOLAR FLORESTA I GERACAO CENTRALIZADA SPE S.A</t>
        </is>
      </c>
    </row>
    <row r="150">
      <c r="A150" s="4" t="n">
        <v>146</v>
      </c>
      <c r="B150" s="5" t="inlineStr">
        <is>
          <t>PARACATU</t>
        </is>
      </c>
      <c r="C150" s="4" t="inlineStr">
        <is>
          <t>MG</t>
        </is>
      </c>
      <c r="D150" s="4" t="inlineStr">
        <is>
          <t>Solar</t>
        </is>
      </c>
      <c r="E150" s="7" t="inlineStr">
        <is>
          <t>GERADORA SOLAR SAO JOAO PARACATU I S.A. (SPE only)</t>
        </is>
      </c>
      <c r="F150" s="14" t="inlineStr">
        <is>
          <t>L</t>
        </is>
      </c>
      <c r="G150" s="21" t="n">
        <v>44.6</v>
      </c>
      <c r="H150" s="10">
        <f>G150/Assumptions!$B$7</f>
        <v/>
      </c>
      <c r="I150" s="22">
        <f>G150*1000*Assumptions!$B$8/1000000</f>
        <v/>
      </c>
      <c r="J150" s="23" t="n">
        <v>169.2</v>
      </c>
      <c r="K150" s="10" t="n">
        <v>0.2085287878490325</v>
      </c>
      <c r="L150" s="8" t="n">
        <v>342</v>
      </c>
      <c r="M150" s="7" t="inlineStr">
        <is>
          <t>GERADORA SOLAR SAO JOAO PARACATU I S.A.; GERADORA SOLAR SAO JOAO PARACATU II S.A.; ENGIE SOLAR PARACATU III GERACAO CENTRALIZADA SPE S.A.</t>
        </is>
      </c>
    </row>
    <row r="151">
      <c r="A151" s="4" t="n">
        <v>147</v>
      </c>
      <c r="B151" s="5" t="inlineStr">
        <is>
          <t>MODELO</t>
        </is>
      </c>
      <c r="C151" s="4" t="inlineStr">
        <is>
          <t>RN</t>
        </is>
      </c>
      <c r="D151" s="4" t="inlineStr">
        <is>
          <t>Wind</t>
        </is>
      </c>
      <c r="E151" s="7" t="inlineStr">
        <is>
          <t>Enel Green Power Brasil</t>
        </is>
      </c>
      <c r="F151" s="13" t="inlineStr">
        <is>
          <t>H</t>
        </is>
      </c>
      <c r="G151" s="21" t="n">
        <v>44.2</v>
      </c>
      <c r="H151" s="10">
        <f>G151/Assumptions!$B$7</f>
        <v/>
      </c>
      <c r="I151" s="22">
        <f>G151*1000*Assumptions!$B$8/1000000</f>
        <v/>
      </c>
      <c r="J151" s="23" t="n">
        <v>26.1</v>
      </c>
      <c r="K151" s="10" t="n">
        <v>0.6285290027658583</v>
      </c>
      <c r="L151" s="8" t="n">
        <v>56</v>
      </c>
      <c r="M151" s="7" t="inlineStr">
        <is>
          <t>ENEL GREEN POWER MODELO I EOLICA S.A.; ENEL GREEN POWER MODELO II EOLICA S.A.</t>
        </is>
      </c>
    </row>
    <row r="152">
      <c r="A152" s="4" t="n">
        <v>148</v>
      </c>
      <c r="B152" s="5" t="inlineStr">
        <is>
          <t>ALEGRIA I</t>
        </is>
      </c>
      <c r="C152" s="4" t="inlineStr">
        <is>
          <t>RN</t>
        </is>
      </c>
      <c r="D152" s="4" t="inlineStr">
        <is>
          <t>Wind</t>
        </is>
      </c>
      <c r="E152" s="7" t="inlineStr">
        <is>
          <t>— unmapped —</t>
        </is>
      </c>
      <c r="F152" s="14" t="inlineStr">
        <is>
          <t>L</t>
        </is>
      </c>
      <c r="G152" s="21" t="n">
        <v>43.7</v>
      </c>
      <c r="H152" s="10">
        <f>G152/Assumptions!$B$7</f>
        <v/>
      </c>
      <c r="I152" s="22">
        <f>G152*1000*Assumptions!$B$8/1000000</f>
        <v/>
      </c>
      <c r="J152" s="23" t="n">
        <v>25</v>
      </c>
      <c r="K152" s="10" t="n">
        <v>0.6361948409577035</v>
      </c>
      <c r="L152" s="8" t="n">
        <v>0</v>
      </c>
      <c r="M152" s="7" t="inlineStr"/>
    </row>
    <row r="153">
      <c r="A153" s="4" t="n">
        <v>149</v>
      </c>
      <c r="B153" s="5" t="inlineStr">
        <is>
          <t>KAIROS</t>
        </is>
      </c>
      <c r="C153" s="4" t="inlineStr">
        <is>
          <t>CE</t>
        </is>
      </c>
      <c r="D153" s="4" t="inlineStr">
        <is>
          <t>Wind</t>
        </is>
      </c>
      <c r="E153" s="7" t="inlineStr">
        <is>
          <t>KAIROS WIND 1 ENERGIA S A (SPE only)</t>
        </is>
      </c>
      <c r="F153" s="14" t="inlineStr">
        <is>
          <t>L</t>
        </is>
      </c>
      <c r="G153" s="21" t="n">
        <v>42.1</v>
      </c>
      <c r="H153" s="10">
        <f>G153/Assumptions!$B$7</f>
        <v/>
      </c>
      <c r="I153" s="22">
        <f>G153*1000*Assumptions!$B$8/1000000</f>
        <v/>
      </c>
      <c r="J153" s="23" t="n">
        <v>33.5</v>
      </c>
      <c r="K153" s="10" t="n">
        <v>0.5567810201909233</v>
      </c>
      <c r="L153" s="8" t="n">
        <v>112</v>
      </c>
      <c r="M153" s="7" t="inlineStr">
        <is>
          <t>KAIROS WIND 1 ENERGIA S A; KAIROS WIND 6 ENERGIA S.A.; KAIROS WIND 2 ENERGIA S A</t>
        </is>
      </c>
    </row>
    <row r="154">
      <c r="A154" s="4" t="n">
        <v>150</v>
      </c>
      <c r="B154" s="5" t="inlineStr">
        <is>
          <t>JAIBA</t>
        </is>
      </c>
      <c r="C154" s="4" t="inlineStr">
        <is>
          <t>MG</t>
        </is>
      </c>
      <c r="D154" s="4" t="inlineStr">
        <is>
          <t>Solar</t>
        </is>
      </c>
      <c r="E154" s="7" t="inlineStr">
        <is>
          <t>— unmapped —</t>
        </is>
      </c>
      <c r="F154" s="14" t="inlineStr">
        <is>
          <t>L</t>
        </is>
      </c>
      <c r="G154" s="21" t="n">
        <v>42</v>
      </c>
      <c r="H154" s="10">
        <f>G154/Assumptions!$B$7</f>
        <v/>
      </c>
      <c r="I154" s="22">
        <f>G154*1000*Assumptions!$B$8/1000000</f>
        <v/>
      </c>
      <c r="J154" s="23" t="n">
        <v>48.5</v>
      </c>
      <c r="K154" s="10" t="n">
        <v>0.4643223128715787</v>
      </c>
      <c r="L154" s="8" t="n">
        <v>0</v>
      </c>
      <c r="M154" s="7" t="inlineStr"/>
    </row>
    <row r="155">
      <c r="A155" s="4" t="n">
        <v>151</v>
      </c>
      <c r="B155" s="5" t="inlineStr">
        <is>
          <t>CURVA DOS VENTOS</t>
        </is>
      </c>
      <c r="C155" s="4" t="inlineStr">
        <is>
          <t>BA</t>
        </is>
      </c>
      <c r="D155" s="4" t="inlineStr">
        <is>
          <t>Wind</t>
        </is>
      </c>
      <c r="E155" s="7" t="inlineStr">
        <is>
          <t>Enel Green Power Brasil</t>
        </is>
      </c>
      <c r="F155" s="13" t="inlineStr">
        <is>
          <t>H</t>
        </is>
      </c>
      <c r="G155" s="21" t="n">
        <v>40.9</v>
      </c>
      <c r="H155" s="10">
        <f>G155/Assumptions!$B$7</f>
        <v/>
      </c>
      <c r="I155" s="22">
        <f>G155*1000*Assumptions!$B$8/1000000</f>
        <v/>
      </c>
      <c r="J155" s="23" t="n">
        <v>23.5</v>
      </c>
      <c r="K155" s="10" t="n">
        <v>0.6355577534840086</v>
      </c>
      <c r="L155" s="8" t="n">
        <v>56</v>
      </c>
      <c r="M155" s="7" t="inlineStr">
        <is>
          <t>ENEL GREEN POWER JOANA EOLICA S.A.; ENEL GREEN POWER EMILIANA EOLICA S.A.</t>
        </is>
      </c>
    </row>
    <row r="156">
      <c r="A156" s="4" t="n">
        <v>152</v>
      </c>
      <c r="B156" s="5" t="inlineStr">
        <is>
          <t>CRISTAL</t>
        </is>
      </c>
      <c r="C156" s="4" t="inlineStr">
        <is>
          <t>BA</t>
        </is>
      </c>
      <c r="D156" s="4" t="inlineStr">
        <is>
          <t>Wind</t>
        </is>
      </c>
      <c r="E156" s="7" t="inlineStr">
        <is>
          <t>Enel Green Power Brasil</t>
        </is>
      </c>
      <c r="F156" s="13" t="inlineStr">
        <is>
          <t>H</t>
        </is>
      </c>
      <c r="G156" s="21" t="n">
        <v>40.9</v>
      </c>
      <c r="H156" s="10">
        <f>G156/Assumptions!$B$7</f>
        <v/>
      </c>
      <c r="I156" s="22">
        <f>G156*1000*Assumptions!$B$8/1000000</f>
        <v/>
      </c>
      <c r="J156" s="23" t="n">
        <v>42.8</v>
      </c>
      <c r="K156" s="10" t="n">
        <v>0.4888428405456697</v>
      </c>
      <c r="L156" s="8" t="n">
        <v>90</v>
      </c>
      <c r="M156" s="7" t="inlineStr">
        <is>
          <t>ENEL GREEN POWER SAO JUDAS EOLICA S/A; ENEL GREEN POWER PRIMAVERA EOLICA S/A; ENEL GREEN POWER CRISTAL EOLICA S/A</t>
        </is>
      </c>
    </row>
    <row r="157">
      <c r="A157" s="4" t="n">
        <v>153</v>
      </c>
      <c r="B157" s="5" t="inlineStr">
        <is>
          <t>OESTE SERIDO</t>
        </is>
      </c>
      <c r="C157" s="4" t="inlineStr">
        <is>
          <t>RN</t>
        </is>
      </c>
      <c r="D157" s="4" t="inlineStr">
        <is>
          <t>Wind</t>
        </is>
      </c>
      <c r="E157" s="7" t="inlineStr">
        <is>
          <t>CENTRAL GERADORA EÓLICA SERIDÓ I S.A. (SPE only)</t>
        </is>
      </c>
      <c r="F157" s="14" t="inlineStr">
        <is>
          <t>L</t>
        </is>
      </c>
      <c r="G157" s="21" t="n">
        <v>40.3</v>
      </c>
      <c r="H157" s="10">
        <f>G157/Assumptions!$B$7</f>
        <v/>
      </c>
      <c r="I157" s="22">
        <f>G157*1000*Assumptions!$B$8/1000000</f>
        <v/>
      </c>
      <c r="J157" s="23" t="n">
        <v>107.3</v>
      </c>
      <c r="K157" s="10" t="n">
        <v>0.2730004852515791</v>
      </c>
      <c r="L157" s="8" t="n">
        <v>248</v>
      </c>
      <c r="M157" s="7" t="inlineStr">
        <is>
          <t>CENTRAL GERADORA EÓLICA SERIDÓ I S.A.; CENTRAL GERADORA EÓLICA SERIDÓ II S.A.; CENTRAL GERADORA EÓLICA SERIDÓ III S A.</t>
        </is>
      </c>
    </row>
    <row r="158">
      <c r="A158" s="4" t="n">
        <v>154</v>
      </c>
      <c r="B158" s="5" t="inlineStr">
        <is>
          <t>SJP</t>
        </is>
      </c>
      <c r="C158" s="4" t="inlineStr">
        <is>
          <t>PI</t>
        </is>
      </c>
      <c r="D158" s="4" t="inlineStr">
        <is>
          <t>Solar</t>
        </is>
      </c>
      <c r="E158" s="7" t="inlineStr">
        <is>
          <t>CELEO SÃO JOÃO DO PIAUÍ FV I S.A. (SPE only)</t>
        </is>
      </c>
      <c r="F158" s="14" t="inlineStr">
        <is>
          <t>L</t>
        </is>
      </c>
      <c r="G158" s="21" t="n">
        <v>38.5</v>
      </c>
      <c r="H158" s="10">
        <f>G158/Assumptions!$B$7</f>
        <v/>
      </c>
      <c r="I158" s="22">
        <f>G158*1000*Assumptions!$B$8/1000000</f>
        <v/>
      </c>
      <c r="J158" s="23" t="n">
        <v>65.59999999999999</v>
      </c>
      <c r="K158" s="10" t="n">
        <v>0.3701067936339234</v>
      </c>
      <c r="L158" s="8" t="n">
        <v>186</v>
      </c>
      <c r="M158" s="7" t="inlineStr">
        <is>
          <t>CELEO SÃO JOÃO DO PIAUÍ FV I S.A.; CELEO SÃO JOÃO DO PIAUÍ FV II S.A.; CELEO SÃO JOÃO DO PIAUÍ FV III S.A.</t>
        </is>
      </c>
    </row>
    <row r="159">
      <c r="A159" s="4" t="n">
        <v>155</v>
      </c>
      <c r="B159" s="5" t="inlineStr">
        <is>
          <t>SAO MIGUEL</t>
        </is>
      </c>
      <c r="C159" s="4" t="inlineStr">
        <is>
          <t>RN</t>
        </is>
      </c>
      <c r="D159" s="4" t="inlineStr">
        <is>
          <t>Wind</t>
        </is>
      </c>
      <c r="E159" s="7" t="inlineStr">
        <is>
          <t>SM GERACAO DE ENERGIA EOLICA S/A (SPE only)</t>
        </is>
      </c>
      <c r="F159" s="14" t="inlineStr">
        <is>
          <t>L</t>
        </is>
      </c>
      <c r="G159" s="21" t="n">
        <v>37.9</v>
      </c>
      <c r="H159" s="10">
        <f>G159/Assumptions!$B$7</f>
        <v/>
      </c>
      <c r="I159" s="22">
        <f>G159*1000*Assumptions!$B$8/1000000</f>
        <v/>
      </c>
      <c r="J159" s="23" t="n">
        <v>26</v>
      </c>
      <c r="K159" s="10" t="n">
        <v>0.5929761455083423</v>
      </c>
      <c r="L159" s="8" t="n">
        <v>60</v>
      </c>
      <c r="M159" s="7" t="inlineStr">
        <is>
          <t>SM GERACAO DE ENERGIA EOLICA S/A; VENTOS PARAZINHENSES GERADORA EOLICA S/A</t>
        </is>
      </c>
    </row>
    <row r="160">
      <c r="A160" s="4" t="n">
        <v>156</v>
      </c>
      <c r="B160" s="5" t="inlineStr">
        <is>
          <t>PEDRA CHEIROSA</t>
        </is>
      </c>
      <c r="C160" s="4" t="inlineStr">
        <is>
          <t>CE</t>
        </is>
      </c>
      <c r="D160" s="4" t="inlineStr">
        <is>
          <t>Wind</t>
        </is>
      </c>
      <c r="E160" s="7" t="inlineStr">
        <is>
          <t>PEDRA CHEIROSA II ENERGIA LTDA. (SPE only)</t>
        </is>
      </c>
      <c r="F160" s="14" t="inlineStr">
        <is>
          <t>L</t>
        </is>
      </c>
      <c r="G160" s="21" t="n">
        <v>37.6</v>
      </c>
      <c r="H160" s="10">
        <f>G160/Assumptions!$B$7</f>
        <v/>
      </c>
      <c r="I160" s="22">
        <f>G160*1000*Assumptions!$B$8/1000000</f>
        <v/>
      </c>
      <c r="J160" s="23" t="n">
        <v>44.4</v>
      </c>
      <c r="K160" s="10" t="n">
        <v>0.4585341641513576</v>
      </c>
      <c r="L160" s="8" t="n">
        <v>48</v>
      </c>
      <c r="M160" s="7" t="inlineStr">
        <is>
          <t>PEDRA CHEIROSA II ENERGIA LTDA.; PEDRA CHEIROSA I ENERGIA LTDA</t>
        </is>
      </c>
    </row>
    <row r="161">
      <c r="A161" s="4" t="n">
        <v>157</v>
      </c>
      <c r="B161" s="5" t="inlineStr">
        <is>
          <t>PARANATAMA</t>
        </is>
      </c>
      <c r="C161" s="4" t="inlineStr">
        <is>
          <t>PE</t>
        </is>
      </c>
      <c r="D161" s="4" t="inlineStr">
        <is>
          <t>Wind</t>
        </is>
      </c>
      <c r="E161" s="7" t="inlineStr">
        <is>
          <t>EOLICA SERRA DAS VACAS I S.A. (SPE only)</t>
        </is>
      </c>
      <c r="F161" s="14" t="inlineStr">
        <is>
          <t>L</t>
        </is>
      </c>
      <c r="G161" s="21" t="n">
        <v>37.4</v>
      </c>
      <c r="H161" s="10">
        <f>G161/Assumptions!$B$7</f>
        <v/>
      </c>
      <c r="I161" s="22">
        <f>G161*1000*Assumptions!$B$8/1000000</f>
        <v/>
      </c>
      <c r="J161" s="23" t="n">
        <v>78.59999999999999</v>
      </c>
      <c r="K161" s="10" t="n">
        <v>0.3222368007081142</v>
      </c>
      <c r="L161" s="8" t="n">
        <v>227</v>
      </c>
      <c r="M161" s="7" t="inlineStr">
        <is>
          <t>EOLICA SERRA DAS VACAS I S.A.; EOLICA SERRA DAS VACAS II S.A.; EOLICA SERRA DAS VACAS III S.A.</t>
        </is>
      </c>
    </row>
    <row r="162">
      <c r="A162" s="4" t="n">
        <v>158</v>
      </c>
      <c r="B162" s="5" t="inlineStr">
        <is>
          <t>ACAUA</t>
        </is>
      </c>
      <c r="C162" s="4" t="inlineStr">
        <is>
          <t>RN</t>
        </is>
      </c>
      <c r="D162" s="4" t="inlineStr">
        <is>
          <t>Wind</t>
        </is>
      </c>
      <c r="E162" s="7" t="inlineStr">
        <is>
          <t>CENTRAL EOLICA ACAUA I S.A. (SPE only)</t>
        </is>
      </c>
      <c r="F162" s="14" t="inlineStr">
        <is>
          <t>L</t>
        </is>
      </c>
      <c r="G162" s="21" t="n">
        <v>36.9</v>
      </c>
      <c r="H162" s="10">
        <f>G162/Assumptions!$B$7</f>
        <v/>
      </c>
      <c r="I162" s="22">
        <f>G162*1000*Assumptions!$B$8/1000000</f>
        <v/>
      </c>
      <c r="J162" s="23" t="n">
        <v>50.4</v>
      </c>
      <c r="K162" s="10" t="n">
        <v>0.4226790460717906</v>
      </c>
      <c r="L162" s="8" t="n">
        <v>109</v>
      </c>
      <c r="M162" s="7" t="inlineStr">
        <is>
          <t>CENTRAL EOLICA ACAUA I S.A.; CENTRAL EOLICA ACAUA III S.A.; CENTRAL EOLICA ACAUA II S.A.</t>
        </is>
      </c>
    </row>
    <row r="163">
      <c r="A163" s="4" t="n">
        <v>159</v>
      </c>
      <c r="B163" s="5" t="inlineStr">
        <is>
          <t>BOM NOME</t>
        </is>
      </c>
      <c r="C163" s="4" t="inlineStr">
        <is>
          <t>PE</t>
        </is>
      </c>
      <c r="D163" s="4" t="inlineStr">
        <is>
          <t>Solar</t>
        </is>
      </c>
      <c r="E163" s="7" t="inlineStr">
        <is>
          <t>COMPANHIA PERNAMBUCANA DE SANEAMENTO (SPE only)</t>
        </is>
      </c>
      <c r="F163" s="14" t="inlineStr">
        <is>
          <t>L</t>
        </is>
      </c>
      <c r="G163" s="21" t="n">
        <v>36.9</v>
      </c>
      <c r="H163" s="10">
        <f>G163/Assumptions!$B$7</f>
        <v/>
      </c>
      <c r="I163" s="22">
        <f>G163*1000*Assumptions!$B$8/1000000</f>
        <v/>
      </c>
      <c r="J163" s="23" t="n">
        <v>38.7</v>
      </c>
      <c r="K163" s="10" t="n">
        <v>0.4881418090999612</v>
      </c>
      <c r="L163" s="8" t="n">
        <v>84</v>
      </c>
      <c r="M163" s="7" t="inlineStr">
        <is>
          <t>COMPANHIA PERNAMBUCANA DE SANEAMENTO; São Pedro e Paulo I SPE S.A.</t>
        </is>
      </c>
    </row>
    <row r="164">
      <c r="A164" s="4" t="n">
        <v>160</v>
      </c>
      <c r="B164" s="5" t="inlineStr">
        <is>
          <t>SANTA EUGENIA</t>
        </is>
      </c>
      <c r="C164" s="4" t="inlineStr">
        <is>
          <t>BA</t>
        </is>
      </c>
      <c r="D164" s="4" t="inlineStr">
        <is>
          <t>Wind</t>
        </is>
      </c>
      <c r="E164" s="7" t="inlineStr">
        <is>
          <t>— unmapped —</t>
        </is>
      </c>
      <c r="F164" s="14" t="inlineStr">
        <is>
          <t>L</t>
        </is>
      </c>
      <c r="G164" s="21" t="n">
        <v>36.7</v>
      </c>
      <c r="H164" s="10">
        <f>G164/Assumptions!$B$7</f>
        <v/>
      </c>
      <c r="I164" s="22">
        <f>G164*1000*Assumptions!$B$8/1000000</f>
        <v/>
      </c>
      <c r="J164" s="23" t="n">
        <v>16.3</v>
      </c>
      <c r="K164" s="10" t="n">
        <v>0.6916195203583522</v>
      </c>
      <c r="L164" s="8" t="n">
        <v>0</v>
      </c>
      <c r="M164" s="7" t="inlineStr"/>
    </row>
    <row r="165">
      <c r="A165" s="4" t="n">
        <v>161</v>
      </c>
      <c r="B165" s="5" t="inlineStr">
        <is>
          <t>CHAPADA II</t>
        </is>
      </c>
      <c r="C165" s="4" t="inlineStr">
        <is>
          <t>PI</t>
        </is>
      </c>
      <c r="D165" s="4" t="inlineStr">
        <is>
          <t>Wind</t>
        </is>
      </c>
      <c r="E165" s="7" t="inlineStr">
        <is>
          <t>Casa dos Ventos</t>
        </is>
      </c>
      <c r="F165" s="6" t="inlineStr">
        <is>
          <t>M</t>
        </is>
      </c>
      <c r="G165" s="21" t="n">
        <v>36.6</v>
      </c>
      <c r="H165" s="10">
        <f>G165/Assumptions!$B$7</f>
        <v/>
      </c>
      <c r="I165" s="22">
        <f>G165*1000*Assumptions!$B$8/1000000</f>
        <v/>
      </c>
      <c r="J165" s="23" t="n">
        <v>64.90000000000001</v>
      </c>
      <c r="K165" s="10" t="n">
        <v>0.3601456394383032</v>
      </c>
      <c r="L165" s="8" t="n">
        <v>205</v>
      </c>
      <c r="M165" s="7" t="inlineStr">
        <is>
          <t>VENTOS DE SANTA JOANA XI ENERGIAS RENOVAVEIS S.A.; VENTOS DE SANTA JOANA XVI ENERGIAS RENOVAVEIS S.A.; VENTOS DE SANTA JOANA X ENERGIAS RENOVAVEIS S.A.</t>
        </is>
      </c>
    </row>
    <row r="166">
      <c r="A166" s="4" t="n">
        <v>162</v>
      </c>
      <c r="B166" s="5" t="inlineStr">
        <is>
          <t>DELFINA</t>
        </is>
      </c>
      <c r="C166" s="4" t="inlineStr">
        <is>
          <t>BA</t>
        </is>
      </c>
      <c r="D166" s="4" t="inlineStr">
        <is>
          <t>Wind</t>
        </is>
      </c>
      <c r="E166" s="7" t="inlineStr">
        <is>
          <t>Enel Green Power Brasil</t>
        </is>
      </c>
      <c r="F166" s="13" t="inlineStr">
        <is>
          <t>H</t>
        </is>
      </c>
      <c r="G166" s="21" t="n">
        <v>35.6</v>
      </c>
      <c r="H166" s="10">
        <f>G166/Assumptions!$B$7</f>
        <v/>
      </c>
      <c r="I166" s="22">
        <f>G166*1000*Assumptions!$B$8/1000000</f>
        <v/>
      </c>
      <c r="J166" s="23" t="n">
        <v>98</v>
      </c>
      <c r="K166" s="10" t="n">
        <v>0.2665610858661944</v>
      </c>
      <c r="L166" s="8" t="n">
        <v>209</v>
      </c>
      <c r="M166" s="7" t="inlineStr">
        <is>
          <t>ENEL GREEN POWER DELFINA A EOLICA S.A.; ENEL GREEN POWER DELFINA B EOLICA S.A.; ENEL GREEN POWER DELFINA C EOLICA S.A.</t>
        </is>
      </c>
    </row>
    <row r="167">
      <c r="A167" s="4" t="n">
        <v>163</v>
      </c>
      <c r="B167" s="5" t="inlineStr">
        <is>
          <t>CHAPADA III</t>
        </is>
      </c>
      <c r="C167" s="4" t="inlineStr">
        <is>
          <t>PI</t>
        </is>
      </c>
      <c r="D167" s="4" t="inlineStr">
        <is>
          <t>Wind</t>
        </is>
      </c>
      <c r="E167" s="7" t="inlineStr">
        <is>
          <t>Casa dos Ventos</t>
        </is>
      </c>
      <c r="F167" s="6" t="inlineStr">
        <is>
          <t>M</t>
        </is>
      </c>
      <c r="G167" s="21" t="n">
        <v>34.9</v>
      </c>
      <c r="H167" s="10">
        <f>G167/Assumptions!$B$7</f>
        <v/>
      </c>
      <c r="I167" s="22">
        <f>G167*1000*Assumptions!$B$8/1000000</f>
        <v/>
      </c>
      <c r="J167" s="23" t="n">
        <v>82.40000000000001</v>
      </c>
      <c r="K167" s="10" t="n">
        <v>0.2978258120263905</v>
      </c>
      <c r="L167" s="8" t="n">
        <v>232</v>
      </c>
      <c r="M167" s="7" t="inlineStr">
        <is>
          <t>VENTOS DE SANTA JOANA IV ENERGIAS RENOVAVEIS S.A; VENTOS DE SANTA JOANA V ENERGIAS RENOVAVEIS S.A; VENTOS DE SANTA JOANA III ENERGIAS RENOVAVEIS S.A</t>
        </is>
      </c>
    </row>
    <row r="168">
      <c r="A168" s="4" t="n">
        <v>164</v>
      </c>
      <c r="B168" s="5" t="inlineStr">
        <is>
          <t>TAIBA</t>
        </is>
      </c>
      <c r="C168" s="4" t="inlineStr">
        <is>
          <t>CE</t>
        </is>
      </c>
      <c r="D168" s="4" t="inlineStr">
        <is>
          <t>Wind</t>
        </is>
      </c>
      <c r="E168" s="7" t="inlineStr">
        <is>
          <t>CENTRAL GERADORA EOLICA TAIBA AGUIA S.A. (SPE only)</t>
        </is>
      </c>
      <c r="F168" s="14" t="inlineStr">
        <is>
          <t>L</t>
        </is>
      </c>
      <c r="G168" s="21" t="n">
        <v>34.2</v>
      </c>
      <c r="H168" s="10">
        <f>G168/Assumptions!$B$7</f>
        <v/>
      </c>
      <c r="I168" s="22">
        <f>G168*1000*Assumptions!$B$8/1000000</f>
        <v/>
      </c>
      <c r="J168" s="23" t="n">
        <v>51.5</v>
      </c>
      <c r="K168" s="10" t="n">
        <v>0.3990290910481846</v>
      </c>
      <c r="L168" s="8" t="n">
        <v>57</v>
      </c>
      <c r="M168" s="7" t="inlineStr">
        <is>
          <t>CENTRAL GERADORA EOLICA TAIBA AGUIA S.A.; CENTRAL GERADORA EOLICA COLONIA S.A.; CENTRAL GERADORA EOLICA TAIBA ANDORINHA S.A.</t>
        </is>
      </c>
    </row>
    <row r="169">
      <c r="A169" s="4" t="n">
        <v>165</v>
      </c>
      <c r="B169" s="5" t="inlineStr">
        <is>
          <t>SAO PEDRO</t>
        </is>
      </c>
      <c r="C169" s="4" t="inlineStr">
        <is>
          <t>BA</t>
        </is>
      </c>
      <c r="D169" s="4" t="inlineStr">
        <is>
          <t>Solar</t>
        </is>
      </c>
      <c r="E169" s="7" t="inlineStr">
        <is>
          <t>CENTRAL FOTOVOLTAICA SAO PEDRO II S.A. (SPE only)</t>
        </is>
      </c>
      <c r="F169" s="14" t="inlineStr">
        <is>
          <t>L</t>
        </is>
      </c>
      <c r="G169" s="21" t="n">
        <v>34.1</v>
      </c>
      <c r="H169" s="10">
        <f>G169/Assumptions!$B$7</f>
        <v/>
      </c>
      <c r="I169" s="22">
        <f>G169*1000*Assumptions!$B$8/1000000</f>
        <v/>
      </c>
      <c r="J169" s="23" t="n">
        <v>34.9</v>
      </c>
      <c r="K169" s="10" t="n">
        <v>0.4941420745021526</v>
      </c>
      <c r="L169" s="8" t="n">
        <v>54</v>
      </c>
      <c r="M169" s="7" t="inlineStr">
        <is>
          <t>CENTRAL FOTOVOLTAICA SAO PEDRO II S.A.; CENTRAL FOTOVOLTAICA SAO PEDRO IV S.A.</t>
        </is>
      </c>
    </row>
    <row r="170">
      <c r="A170" s="4" t="n">
        <v>166</v>
      </c>
      <c r="B170" s="5" t="inlineStr">
        <is>
          <t>SERTAO SOLAR BARREIRAS</t>
        </is>
      </c>
      <c r="C170" s="4" t="inlineStr">
        <is>
          <t>BA</t>
        </is>
      </c>
      <c r="D170" s="4" t="inlineStr">
        <is>
          <t>Solar</t>
        </is>
      </c>
      <c r="E170" s="7" t="inlineStr">
        <is>
          <t>Solar BA SPEs</t>
        </is>
      </c>
      <c r="F170" s="6" t="inlineStr">
        <is>
          <t>M</t>
        </is>
      </c>
      <c r="G170" s="21" t="n">
        <v>34</v>
      </c>
      <c r="H170" s="10">
        <f>G170/Assumptions!$B$7</f>
        <v/>
      </c>
      <c r="I170" s="22">
        <f>G170*1000*Assumptions!$B$8/1000000</f>
        <v/>
      </c>
      <c r="J170" s="23" t="n">
        <v>54</v>
      </c>
      <c r="K170" s="10" t="n">
        <v>0.3864547102675486</v>
      </c>
      <c r="L170" s="8" t="n">
        <v>95</v>
      </c>
      <c r="M170" s="7" t="inlineStr">
        <is>
          <t>SOLAR BARREIRAS I ENERGIA SPE LTDA; SOLAR BARREIRAS II ENERGIA SPE LTDA; SOLAR BARREIRAS III ENERGIA SPE LTDA</t>
        </is>
      </c>
    </row>
    <row r="171">
      <c r="A171" s="4" t="n">
        <v>167</v>
      </c>
      <c r="B171" s="5" t="inlineStr">
        <is>
          <t>SANTA ROSA MUNDO NOVO</t>
        </is>
      </c>
      <c r="C171" s="4" t="inlineStr">
        <is>
          <t>RN</t>
        </is>
      </c>
      <c r="D171" s="4" t="inlineStr">
        <is>
          <t>Wind</t>
        </is>
      </c>
      <c r="E171" s="7" t="inlineStr">
        <is>
          <t>CENTRAL EOLICA SRMN I S.A. (SPE only)</t>
        </is>
      </c>
      <c r="F171" s="14" t="inlineStr">
        <is>
          <t>L</t>
        </is>
      </c>
      <c r="G171" s="21" t="n">
        <v>34</v>
      </c>
      <c r="H171" s="10">
        <f>G171/Assumptions!$B$7</f>
        <v/>
      </c>
      <c r="I171" s="22">
        <f>G171*1000*Assumptions!$B$8/1000000</f>
        <v/>
      </c>
      <c r="J171" s="23" t="n">
        <v>77.59999999999999</v>
      </c>
      <c r="K171" s="10" t="n">
        <v>0.3043280859351386</v>
      </c>
      <c r="L171" s="8" t="n">
        <v>155</v>
      </c>
      <c r="M171" s="7" t="inlineStr">
        <is>
          <t>CENTRAL EOLICA SRMN I S.A.; CENTRAL EOLICA SRMN II S.A.; CENTRAL EOLICA SRMN III S.A.</t>
        </is>
      </c>
    </row>
    <row r="172">
      <c r="A172" s="4" t="n">
        <v>168</v>
      </c>
      <c r="B172" s="5" t="inlineStr">
        <is>
          <t>CHAFARIZ NORTE</t>
        </is>
      </c>
      <c r="C172" s="4" t="inlineStr">
        <is>
          <t>PB</t>
        </is>
      </c>
      <c r="D172" s="4" t="inlineStr">
        <is>
          <t>Wind</t>
        </is>
      </c>
      <c r="E172" s="7" t="inlineStr">
        <is>
          <t>CANOAS 2 ENERGIA RENOVÁVEL S.A. (SPE only)</t>
        </is>
      </c>
      <c r="F172" s="14" t="inlineStr">
        <is>
          <t>L</t>
        </is>
      </c>
      <c r="G172" s="21" t="n">
        <v>33.8</v>
      </c>
      <c r="H172" s="10">
        <f>G172/Assumptions!$B$7</f>
        <v/>
      </c>
      <c r="I172" s="22">
        <f>G172*1000*Assumptions!$B$8/1000000</f>
        <v/>
      </c>
      <c r="J172" s="23" t="n">
        <v>65.40000000000001</v>
      </c>
      <c r="K172" s="10" t="n">
        <v>0.3409543519197324</v>
      </c>
      <c r="L172" s="8" t="n">
        <v>159</v>
      </c>
      <c r="M172" s="7" t="inlineStr">
        <is>
          <t>CANOAS 2 ENERGIA RENOVÁVEL S.A.; CANOAS 3 ENERGIA RENOVÁVEL S.A.; CANOAS 4 ENERGIA RENOVÁVEL S.A.</t>
        </is>
      </c>
    </row>
    <row r="173">
      <c r="A173" s="4" t="n">
        <v>169</v>
      </c>
      <c r="B173" s="5" t="inlineStr">
        <is>
          <t>TAMBORIL I</t>
        </is>
      </c>
      <c r="C173" s="4" t="inlineStr">
        <is>
          <t>BA</t>
        </is>
      </c>
      <c r="D173" s="4" t="inlineStr">
        <is>
          <t>Wind</t>
        </is>
      </c>
      <c r="E173" s="7" t="inlineStr">
        <is>
          <t>— unmapped —</t>
        </is>
      </c>
      <c r="F173" s="14" t="inlineStr">
        <is>
          <t>L</t>
        </is>
      </c>
      <c r="G173" s="21" t="n">
        <v>33.3</v>
      </c>
      <c r="H173" s="10">
        <f>G173/Assumptions!$B$7</f>
        <v/>
      </c>
      <c r="I173" s="22">
        <f>G173*1000*Assumptions!$B$8/1000000</f>
        <v/>
      </c>
      <c r="J173" s="23" t="n">
        <v>7.1</v>
      </c>
      <c r="K173" s="10" t="n">
        <v>0.8243636395538938</v>
      </c>
      <c r="L173" s="8" t="n">
        <v>0</v>
      </c>
      <c r="M173" s="7" t="inlineStr"/>
    </row>
    <row r="174">
      <c r="A174" s="4" t="n">
        <v>170</v>
      </c>
      <c r="B174" s="5" t="inlineStr">
        <is>
          <t>ANEMUS</t>
        </is>
      </c>
      <c r="C174" s="4" t="inlineStr">
        <is>
          <t>RN</t>
        </is>
      </c>
      <c r="D174" s="4" t="inlineStr">
        <is>
          <t>Wind</t>
        </is>
      </c>
      <c r="E174" s="7" t="inlineStr">
        <is>
          <t>ANEMUS WIND 1 PARTICIPACOES S.A. (SPE only)</t>
        </is>
      </c>
      <c r="F174" s="14" t="inlineStr">
        <is>
          <t>L</t>
        </is>
      </c>
      <c r="G174" s="21" t="n">
        <v>33.2</v>
      </c>
      <c r="H174" s="10">
        <f>G174/Assumptions!$B$7</f>
        <v/>
      </c>
      <c r="I174" s="22">
        <f>G174*1000*Assumptions!$B$8/1000000</f>
        <v/>
      </c>
      <c r="J174" s="23" t="n">
        <v>54.6</v>
      </c>
      <c r="K174" s="10" t="n">
        <v>0.3782727344550891</v>
      </c>
      <c r="L174" s="8" t="n">
        <v>139</v>
      </c>
      <c r="M174" s="7" t="inlineStr">
        <is>
          <t>ANEMUS WIND 1 PARTICIPACOES S.A.; ANEMUS WIND 2 PARTICIPACOES S.A.; ANEMUS WIND 3 PARTICIPACOES S.A</t>
        </is>
      </c>
    </row>
    <row r="175">
      <c r="A175" s="4" t="n">
        <v>171</v>
      </c>
      <c r="B175" s="5" t="inlineStr">
        <is>
          <t>NOVA OLINDA</t>
        </is>
      </c>
      <c r="C175" s="4" t="inlineStr">
        <is>
          <t>PI</t>
        </is>
      </c>
      <c r="D175" s="4" t="inlineStr">
        <is>
          <t>Solar</t>
        </is>
      </c>
      <c r="E175" s="7" t="inlineStr">
        <is>
          <t>NOVA OLINDA NORTE SOLAR S.A. (SPE only)</t>
        </is>
      </c>
      <c r="F175" s="14" t="inlineStr">
        <is>
          <t>L</t>
        </is>
      </c>
      <c r="G175" s="21" t="n">
        <v>31.8</v>
      </c>
      <c r="H175" s="10">
        <f>G175/Assumptions!$B$7</f>
        <v/>
      </c>
      <c r="I175" s="22">
        <f>G175*1000*Assumptions!$B$8/1000000</f>
        <v/>
      </c>
      <c r="J175" s="23" t="n">
        <v>69.7</v>
      </c>
      <c r="K175" s="10" t="n">
        <v>0.3135168079658388</v>
      </c>
      <c r="L175" s="8" t="n">
        <v>210</v>
      </c>
      <c r="M175" s="7" t="inlineStr">
        <is>
          <t>NOVA OLINDA NORTE SOLAR S.A.; NOVA OLINDA B SOLAR S.A.; NOVA OLINDA C SOLAR S.A.</t>
        </is>
      </c>
    </row>
    <row r="176">
      <c r="A176" s="4" t="n">
        <v>172</v>
      </c>
      <c r="B176" s="5" t="inlineStr">
        <is>
          <t>CONJUNTO EOLICO CURRAL NOVO DO PIAUI II</t>
        </is>
      </c>
      <c r="C176" s="4" t="inlineStr">
        <is>
          <t>PI</t>
        </is>
      </c>
      <c r="D176" s="4" t="inlineStr">
        <is>
          <t>Wind</t>
        </is>
      </c>
      <c r="E176" s="7" t="inlineStr">
        <is>
          <t>— unmapped —</t>
        </is>
      </c>
      <c r="F176" s="14" t="inlineStr">
        <is>
          <t>L</t>
        </is>
      </c>
      <c r="G176" s="21" t="n">
        <v>31.8</v>
      </c>
      <c r="H176" s="10">
        <f>G176/Assumptions!$B$7</f>
        <v/>
      </c>
      <c r="I176" s="22">
        <f>G176*1000*Assumptions!$B$8/1000000</f>
        <v/>
      </c>
      <c r="J176" s="23" t="n">
        <v>45.1</v>
      </c>
      <c r="K176" s="10" t="n">
        <v>0.4133331296728206</v>
      </c>
      <c r="L176" s="8" t="n">
        <v>0</v>
      </c>
      <c r="M176" s="7" t="inlineStr"/>
    </row>
    <row r="177">
      <c r="A177" s="4" t="n">
        <v>173</v>
      </c>
      <c r="B177" s="5" t="inlineStr">
        <is>
          <t>BJL</t>
        </is>
      </c>
      <c r="C177" s="4" t="inlineStr">
        <is>
          <t>BA</t>
        </is>
      </c>
      <c r="D177" s="4" t="inlineStr">
        <is>
          <t>Solar</t>
        </is>
      </c>
      <c r="E177" s="7" t="inlineStr">
        <is>
          <t>BJL11 SOLAR S.A. (SPE only)</t>
        </is>
      </c>
      <c r="F177" s="14" t="inlineStr">
        <is>
          <t>L</t>
        </is>
      </c>
      <c r="G177" s="21" t="n">
        <v>31.5</v>
      </c>
      <c r="H177" s="10">
        <f>G177/Assumptions!$B$7</f>
        <v/>
      </c>
      <c r="I177" s="22">
        <f>G177*1000*Assumptions!$B$8/1000000</f>
        <v/>
      </c>
      <c r="J177" s="23" t="n">
        <v>29.3</v>
      </c>
      <c r="K177" s="10" t="n">
        <v>0.5179813981739031</v>
      </c>
      <c r="L177" s="8" t="n">
        <v>40</v>
      </c>
      <c r="M177" s="7" t="inlineStr">
        <is>
          <t>BJL11 SOLAR S.A.; BJL4 SOLAR S.A.</t>
        </is>
      </c>
    </row>
    <row r="178">
      <c r="A178" s="4" t="n">
        <v>174</v>
      </c>
      <c r="B178" s="5" t="inlineStr">
        <is>
          <t>ABIL I</t>
        </is>
      </c>
      <c r="C178" s="4" t="inlineStr">
        <is>
          <t>BA</t>
        </is>
      </c>
      <c r="D178" s="4" t="inlineStr">
        <is>
          <t>Wind</t>
        </is>
      </c>
      <c r="E178" s="7" t="inlineStr">
        <is>
          <t>— unmapped —</t>
        </is>
      </c>
      <c r="F178" s="14" t="inlineStr">
        <is>
          <t>L</t>
        </is>
      </c>
      <c r="G178" s="21" t="n">
        <v>29.9</v>
      </c>
      <c r="H178" s="10">
        <f>G178/Assumptions!$B$7</f>
        <v/>
      </c>
      <c r="I178" s="22">
        <f>G178*1000*Assumptions!$B$8/1000000</f>
        <v/>
      </c>
      <c r="J178" s="23" t="n">
        <v>11.8</v>
      </c>
      <c r="K178" s="10" t="n">
        <v>0.7166885924318362</v>
      </c>
      <c r="L178" s="8" t="n">
        <v>0</v>
      </c>
      <c r="M178" s="7" t="inlineStr"/>
    </row>
    <row r="179">
      <c r="A179" s="4" t="n">
        <v>175</v>
      </c>
      <c r="B179" s="5" t="inlineStr">
        <is>
          <t>CAETITE A</t>
        </is>
      </c>
      <c r="C179" s="4" t="inlineStr">
        <is>
          <t>BA</t>
        </is>
      </c>
      <c r="D179" s="4" t="inlineStr">
        <is>
          <t>Wind</t>
        </is>
      </c>
      <c r="E179" s="7" t="inlineStr">
        <is>
          <t>Engie Brasil Energia</t>
        </is>
      </c>
      <c r="F179" s="13" t="inlineStr">
        <is>
          <t>H</t>
        </is>
      </c>
      <c r="G179" s="21" t="n">
        <v>29.7</v>
      </c>
      <c r="H179" s="10">
        <f>G179/Assumptions!$B$7</f>
        <v/>
      </c>
      <c r="I179" s="22">
        <f>G179*1000*Assumptions!$B$8/1000000</f>
        <v/>
      </c>
      <c r="J179" s="23" t="n">
        <v>27.4</v>
      </c>
      <c r="K179" s="10" t="n">
        <v>0.5200957801330827</v>
      </c>
      <c r="L179" s="8" t="n">
        <v>54</v>
      </c>
      <c r="M179" s="7" t="inlineStr">
        <is>
          <t>EOLICA CAETITE B S.A.; EOLICA CAETITE A S.A.; EOLICA CAETITE C S.A.</t>
        </is>
      </c>
    </row>
    <row r="180">
      <c r="A180" s="4" t="n">
        <v>176</v>
      </c>
      <c r="B180" s="5" t="inlineStr">
        <is>
          <t>FILGUEIRA</t>
        </is>
      </c>
      <c r="C180" s="4" t="inlineStr">
        <is>
          <t>RN</t>
        </is>
      </c>
      <c r="D180" s="4" t="inlineStr">
        <is>
          <t>Wind</t>
        </is>
      </c>
      <c r="E180" s="7" t="inlineStr">
        <is>
          <t>— unmapped —</t>
        </is>
      </c>
      <c r="F180" s="14" t="inlineStr">
        <is>
          <t>L</t>
        </is>
      </c>
      <c r="G180" s="21" t="n">
        <v>28.3</v>
      </c>
      <c r="H180" s="10">
        <f>G180/Assumptions!$B$7</f>
        <v/>
      </c>
      <c r="I180" s="22">
        <f>G180*1000*Assumptions!$B$8/1000000</f>
        <v/>
      </c>
      <c r="J180" s="23" t="n">
        <v>4.3</v>
      </c>
      <c r="K180" s="10" t="n">
        <v>0.8673635665613584</v>
      </c>
      <c r="L180" s="8" t="n">
        <v>0</v>
      </c>
      <c r="M180" s="7" t="inlineStr"/>
    </row>
    <row r="181">
      <c r="A181" s="4" t="n">
        <v>177</v>
      </c>
      <c r="B181" s="5" t="inlineStr">
        <is>
          <t>ARARIPE III</t>
        </is>
      </c>
      <c r="C181" s="4" t="inlineStr">
        <is>
          <t>PI</t>
        </is>
      </c>
      <c r="D181" s="4" t="inlineStr">
        <is>
          <t>Wind</t>
        </is>
      </c>
      <c r="E181" s="7" t="inlineStr">
        <is>
          <t>— unmapped —</t>
        </is>
      </c>
      <c r="F181" s="14" t="inlineStr">
        <is>
          <t>L</t>
        </is>
      </c>
      <c r="G181" s="21" t="n">
        <v>28.1</v>
      </c>
      <c r="H181" s="10">
        <f>G181/Assumptions!$B$7</f>
        <v/>
      </c>
      <c r="I181" s="22">
        <f>G181*1000*Assumptions!$B$8/1000000</f>
        <v/>
      </c>
      <c r="J181" s="23" t="n">
        <v>11.8</v>
      </c>
      <c r="K181" s="10" t="n">
        <v>0.7047119527085033</v>
      </c>
      <c r="L181" s="8" t="n">
        <v>0</v>
      </c>
      <c r="M181" s="7" t="inlineStr"/>
    </row>
    <row r="182">
      <c r="A182" s="4" t="n">
        <v>178</v>
      </c>
      <c r="B182" s="5" t="inlineStr">
        <is>
          <t>SAO GONCALO</t>
        </is>
      </c>
      <c r="C182" s="4" t="inlineStr">
        <is>
          <t>PI</t>
        </is>
      </c>
      <c r="D182" s="4" t="inlineStr">
        <is>
          <t>Solar</t>
        </is>
      </c>
      <c r="E182" s="7" t="inlineStr">
        <is>
          <t>— unmapped —</t>
        </is>
      </c>
      <c r="F182" s="14" t="inlineStr">
        <is>
          <t>L</t>
        </is>
      </c>
      <c r="G182" s="21" t="n">
        <v>28.1</v>
      </c>
      <c r="H182" s="10">
        <f>G182/Assumptions!$B$7</f>
        <v/>
      </c>
      <c r="I182" s="22">
        <f>G182*1000*Assumptions!$B$8/1000000</f>
        <v/>
      </c>
      <c r="J182" s="23" t="n">
        <v>13.1</v>
      </c>
      <c r="K182" s="10" t="n">
        <v>0.6824435090909312</v>
      </c>
      <c r="L182" s="8" t="n">
        <v>0</v>
      </c>
      <c r="M182" s="7" t="inlineStr"/>
    </row>
    <row r="183">
      <c r="A183" s="4" t="n">
        <v>179</v>
      </c>
      <c r="B183" s="5" t="inlineStr">
        <is>
          <t>FV SJP</t>
        </is>
      </c>
      <c r="C183" s="4" t="inlineStr">
        <is>
          <t>PI</t>
        </is>
      </c>
      <c r="D183" s="4" t="inlineStr">
        <is>
          <t>Solar</t>
        </is>
      </c>
      <c r="E183" s="7" t="inlineStr">
        <is>
          <t>— unmapped —</t>
        </is>
      </c>
      <c r="F183" s="14" t="inlineStr">
        <is>
          <t>L</t>
        </is>
      </c>
      <c r="G183" s="21" t="n">
        <v>28</v>
      </c>
      <c r="H183" s="10">
        <f>G183/Assumptions!$B$7</f>
        <v/>
      </c>
      <c r="I183" s="22">
        <f>G183*1000*Assumptions!$B$8/1000000</f>
        <v/>
      </c>
      <c r="J183" s="23" t="n">
        <v>26.3</v>
      </c>
      <c r="K183" s="10" t="n">
        <v>0.5153900650969887</v>
      </c>
      <c r="L183" s="8" t="n">
        <v>0</v>
      </c>
      <c r="M183" s="7" t="inlineStr"/>
    </row>
    <row r="184">
      <c r="A184" s="4" t="n">
        <v>180</v>
      </c>
      <c r="B184" s="5" t="inlineStr">
        <is>
          <t>UMARI</t>
        </is>
      </c>
      <c r="C184" s="4" t="inlineStr">
        <is>
          <t>RN</t>
        </is>
      </c>
      <c r="D184" s="4" t="inlineStr">
        <is>
          <t>Wind</t>
        </is>
      </c>
      <c r="E184" s="7" t="inlineStr">
        <is>
          <t>Casa dos Ventos</t>
        </is>
      </c>
      <c r="F184" s="6" t="inlineStr">
        <is>
          <t>M</t>
        </is>
      </c>
      <c r="G184" s="21" t="n">
        <v>27.5</v>
      </c>
      <c r="H184" s="10">
        <f>G184/Assumptions!$B$7</f>
        <v/>
      </c>
      <c r="I184" s="22">
        <f>G184*1000*Assumptions!$B$8/1000000</f>
        <v/>
      </c>
      <c r="J184" s="23" t="n">
        <v>87.90000000000001</v>
      </c>
      <c r="K184" s="10" t="n">
        <v>0.2381792524330485</v>
      </c>
      <c r="L184" s="8" t="n">
        <v>45</v>
      </c>
      <c r="M184" s="7" t="inlineStr">
        <is>
          <t>Ventos de São Galdino Energias Renováveis S.A.</t>
        </is>
      </c>
    </row>
    <row r="185">
      <c r="A185" s="4" t="n">
        <v>181</v>
      </c>
      <c r="B185" s="5" t="inlineStr">
        <is>
          <t>CHAFARIZ SUL I</t>
        </is>
      </c>
      <c r="C185" s="4" t="inlineStr">
        <is>
          <t>PB</t>
        </is>
      </c>
      <c r="D185" s="4" t="inlineStr">
        <is>
          <t>Wind</t>
        </is>
      </c>
      <c r="E185" s="7" t="inlineStr">
        <is>
          <t>CHAFARIZ 4 ENERGIA RENOVÁVEL S.A. (SPE only)</t>
        </is>
      </c>
      <c r="F185" s="14" t="inlineStr">
        <is>
          <t>L</t>
        </is>
      </c>
      <c r="G185" s="21" t="n">
        <v>27.1</v>
      </c>
      <c r="H185" s="10">
        <f>G185/Assumptions!$B$7</f>
        <v/>
      </c>
      <c r="I185" s="22">
        <f>G185*1000*Assumptions!$B$8/1000000</f>
        <v/>
      </c>
      <c r="J185" s="23" t="n">
        <v>54.3</v>
      </c>
      <c r="K185" s="10" t="n">
        <v>0.3326844607823334</v>
      </c>
      <c r="L185" s="8" t="n">
        <v>142</v>
      </c>
      <c r="M185" s="7" t="inlineStr">
        <is>
          <t>CHAFARIZ 4 ENERGIA RENOVÁVEL S.A.; CHAFARIZ 5 ENERGIA RENOVÁVEL S.A.; VENTOS DE ARAPUÁ 1 ENERGIA RENOVÁVEL S.A.</t>
        </is>
      </c>
    </row>
    <row r="186">
      <c r="A186" s="4" t="n">
        <v>182</v>
      </c>
      <c r="B186" s="5" t="inlineStr">
        <is>
          <t>CANUDOS I</t>
        </is>
      </c>
      <c r="C186" s="4" t="inlineStr">
        <is>
          <t>BA</t>
        </is>
      </c>
      <c r="D186" s="4" t="inlineStr">
        <is>
          <t>Wind</t>
        </is>
      </c>
      <c r="E186" s="7" t="inlineStr">
        <is>
          <t>EOLICA CANUDOS III SPE S.A. (SPE only)</t>
        </is>
      </c>
      <c r="F186" s="14" t="inlineStr">
        <is>
          <t>L</t>
        </is>
      </c>
      <c r="G186" s="21" t="n">
        <v>25.8</v>
      </c>
      <c r="H186" s="10">
        <f>G186/Assumptions!$B$7</f>
        <v/>
      </c>
      <c r="I186" s="22">
        <f>G186*1000*Assumptions!$B$8/1000000</f>
        <v/>
      </c>
      <c r="J186" s="23" t="n">
        <v>38.8</v>
      </c>
      <c r="K186" s="10" t="n">
        <v>0.3999340074389081</v>
      </c>
      <c r="L186" s="8" t="n">
        <v>99</v>
      </c>
      <c r="M186" s="7" t="inlineStr">
        <is>
          <t>EOLICA CANUDOS III SPE S.A.; EOLICA CANUDOS II SPE S.A.</t>
        </is>
      </c>
    </row>
    <row r="187">
      <c r="A187" s="4" t="n">
        <v>183</v>
      </c>
      <c r="B187" s="5" t="inlineStr">
        <is>
          <t>ABAIARA</t>
        </is>
      </c>
      <c r="C187" s="4" t="inlineStr">
        <is>
          <t>CE</t>
        </is>
      </c>
      <c r="D187" s="4" t="inlineStr">
        <is>
          <t>Solar</t>
        </is>
      </c>
      <c r="E187" s="7" t="inlineStr">
        <is>
          <t>— unmapped —</t>
        </is>
      </c>
      <c r="F187" s="14" t="inlineStr">
        <is>
          <t>L</t>
        </is>
      </c>
      <c r="G187" s="21" t="n">
        <v>25.3</v>
      </c>
      <c r="H187" s="10">
        <f>G187/Assumptions!$B$7</f>
        <v/>
      </c>
      <c r="I187" s="22">
        <f>G187*1000*Assumptions!$B$8/1000000</f>
        <v/>
      </c>
      <c r="J187" s="23" t="n">
        <v>66.59999999999999</v>
      </c>
      <c r="K187" s="10" t="n">
        <v>0.2750801771786889</v>
      </c>
      <c r="L187" s="8" t="n">
        <v>0</v>
      </c>
      <c r="M187" s="7" t="inlineStr"/>
    </row>
    <row r="188">
      <c r="A188" s="4" t="n">
        <v>184</v>
      </c>
      <c r="B188" s="5" t="inlineStr">
        <is>
          <t>FOTOVOLTAICO ABAIARA</t>
        </is>
      </c>
      <c r="C188" s="4" t="inlineStr">
        <is>
          <t>CE</t>
        </is>
      </c>
      <c r="D188" s="4" t="inlineStr">
        <is>
          <t>Solar</t>
        </is>
      </c>
      <c r="E188" s="7" t="inlineStr">
        <is>
          <t>— unmapped —</t>
        </is>
      </c>
      <c r="F188" s="14" t="inlineStr">
        <is>
          <t>L</t>
        </is>
      </c>
      <c r="G188" s="21" t="n">
        <v>24.1</v>
      </c>
      <c r="H188" s="10">
        <f>G188/Assumptions!$B$7</f>
        <v/>
      </c>
      <c r="I188" s="22">
        <f>G188*1000*Assumptions!$B$8/1000000</f>
        <v/>
      </c>
      <c r="J188" s="23" t="n">
        <v>23</v>
      </c>
      <c r="K188" s="10" t="n">
        <v>0.5119415276285508</v>
      </c>
      <c r="L188" s="8" t="n">
        <v>0</v>
      </c>
      <c r="M188" s="7" t="inlineStr"/>
    </row>
    <row r="189">
      <c r="A189" s="4" t="n">
        <v>185</v>
      </c>
      <c r="B189" s="5" t="inlineStr">
        <is>
          <t>BOM JESUS</t>
        </is>
      </c>
      <c r="C189" s="4" t="inlineStr">
        <is>
          <t>BA</t>
        </is>
      </c>
      <c r="D189" s="4" t="inlineStr">
        <is>
          <t>Solar</t>
        </is>
      </c>
      <c r="E189" s="7" t="inlineStr">
        <is>
          <t>BOM JESUS DA LAPA SOLAR S.A. (SPE only)</t>
        </is>
      </c>
      <c r="F189" s="14" t="inlineStr">
        <is>
          <t>L</t>
        </is>
      </c>
      <c r="G189" s="21" t="n">
        <v>23.5</v>
      </c>
      <c r="H189" s="10">
        <f>G189/Assumptions!$B$7</f>
        <v/>
      </c>
      <c r="I189" s="22">
        <f>G189*1000*Assumptions!$B$8/1000000</f>
        <v/>
      </c>
      <c r="J189" s="23" t="n">
        <v>27.6</v>
      </c>
      <c r="K189" s="10" t="n">
        <v>0.4594264080420755</v>
      </c>
      <c r="L189" s="8" t="n">
        <v>60</v>
      </c>
      <c r="M189" s="7" t="inlineStr">
        <is>
          <t>BOM JESUS DA LAPA SOLAR S.A.</t>
        </is>
      </c>
    </row>
    <row r="190">
      <c r="A190" s="4" t="n">
        <v>186</v>
      </c>
      <c r="B190" s="5" t="inlineStr">
        <is>
          <t>SAO BASILIO (SOLAR)</t>
        </is>
      </c>
      <c r="C190" s="4" t="inlineStr">
        <is>
          <t>PI</t>
        </is>
      </c>
      <c r="D190" s="4" t="inlineStr">
        <is>
          <t>Solar</t>
        </is>
      </c>
      <c r="E190" s="7" t="inlineStr">
        <is>
          <t>— unmapped —</t>
        </is>
      </c>
      <c r="F190" s="14" t="inlineStr">
        <is>
          <t>L</t>
        </is>
      </c>
      <c r="G190" s="21" t="n">
        <v>23</v>
      </c>
      <c r="H190" s="10">
        <f>G190/Assumptions!$B$7</f>
        <v/>
      </c>
      <c r="I190" s="22">
        <f>G190*1000*Assumptions!$B$8/1000000</f>
        <v/>
      </c>
      <c r="J190" s="23" t="n">
        <v>24.4</v>
      </c>
      <c r="K190" s="10" t="n">
        <v>0.484913049375174</v>
      </c>
      <c r="L190" s="8" t="n">
        <v>0</v>
      </c>
      <c r="M190" s="7" t="inlineStr"/>
    </row>
    <row r="191">
      <c r="A191" s="4" t="n">
        <v>187</v>
      </c>
      <c r="B191" s="5" t="inlineStr">
        <is>
          <t>LAPA</t>
        </is>
      </c>
      <c r="C191" s="4" t="inlineStr">
        <is>
          <t>BA</t>
        </is>
      </c>
      <c r="D191" s="4" t="inlineStr">
        <is>
          <t>Solar</t>
        </is>
      </c>
      <c r="E191" s="7" t="inlineStr">
        <is>
          <t>NOVA LAPA SOLAR S.A. (SPE only)</t>
        </is>
      </c>
      <c r="F191" s="14" t="inlineStr">
        <is>
          <t>L</t>
        </is>
      </c>
      <c r="G191" s="21" t="n">
        <v>22.6</v>
      </c>
      <c r="H191" s="10">
        <f>G191/Assumptions!$B$7</f>
        <v/>
      </c>
      <c r="I191" s="22">
        <f>G191*1000*Assumptions!$B$8/1000000</f>
        <v/>
      </c>
      <c r="J191" s="23" t="n">
        <v>27</v>
      </c>
      <c r="K191" s="10" t="n">
        <v>0.4547114022652715</v>
      </c>
      <c r="L191" s="8" t="n">
        <v>60</v>
      </c>
      <c r="M191" s="7" t="inlineStr">
        <is>
          <t>NOVA LAPA SOLAR S.A.</t>
        </is>
      </c>
    </row>
    <row r="192">
      <c r="A192" s="4" t="n">
        <v>188</v>
      </c>
      <c r="B192" s="5" t="inlineStr">
        <is>
          <t>CALANGO 3</t>
        </is>
      </c>
      <c r="C192" s="4" t="inlineStr">
        <is>
          <t>RN</t>
        </is>
      </c>
      <c r="D192" s="4" t="inlineStr">
        <is>
          <t>Wind</t>
        </is>
      </c>
      <c r="E192" s="7" t="inlineStr">
        <is>
          <t>SANTANA 1 ENERGIA RENOVAVEL S.A. (SPE only)</t>
        </is>
      </c>
      <c r="F192" s="14" t="inlineStr">
        <is>
          <t>L</t>
        </is>
      </c>
      <c r="G192" s="21" t="n">
        <v>22.1</v>
      </c>
      <c r="H192" s="10">
        <f>G192/Assumptions!$B$7</f>
        <v/>
      </c>
      <c r="I192" s="22">
        <f>G192*1000*Assumptions!$B$8/1000000</f>
        <v/>
      </c>
      <c r="J192" s="23" t="n">
        <v>37.9</v>
      </c>
      <c r="K192" s="10" t="n">
        <v>0.3685664362810568</v>
      </c>
      <c r="L192" s="8" t="n">
        <v>84</v>
      </c>
      <c r="M192" s="7" t="inlineStr">
        <is>
          <t>SANTANA 1 ENERGIA RENOVAVEL S.A.; SANTANA 2 ENERGIA RENOVAVEL S.A.; CALANGO 6 ENERGIA RENOVAVEL S.A.</t>
        </is>
      </c>
    </row>
    <row r="193">
      <c r="A193" s="4" t="n">
        <v>189</v>
      </c>
      <c r="B193" s="5" t="inlineStr">
        <is>
          <t>JUAZEIRO SOLAR 2</t>
        </is>
      </c>
      <c r="C193" s="4" t="inlineStr">
        <is>
          <t>BA</t>
        </is>
      </c>
      <c r="D193" s="4" t="inlineStr">
        <is>
          <t>Solar</t>
        </is>
      </c>
      <c r="E193" s="7" t="inlineStr">
        <is>
          <t>— unmapped —</t>
        </is>
      </c>
      <c r="F193" s="14" t="inlineStr">
        <is>
          <t>L</t>
        </is>
      </c>
      <c r="G193" s="21" t="n">
        <v>22</v>
      </c>
      <c r="H193" s="10">
        <f>G193/Assumptions!$B$7</f>
        <v/>
      </c>
      <c r="I193" s="22">
        <f>G193*1000*Assumptions!$B$8/1000000</f>
        <v/>
      </c>
      <c r="J193" s="23" t="n">
        <v>54.9</v>
      </c>
      <c r="K193" s="10" t="n">
        <v>0.2862481855825756</v>
      </c>
      <c r="L193" s="8" t="n">
        <v>0</v>
      </c>
      <c r="M193" s="7" t="inlineStr"/>
    </row>
    <row r="194">
      <c r="A194" s="4" t="n">
        <v>190</v>
      </c>
      <c r="B194" s="5" t="inlineStr">
        <is>
          <t>ICARAIZINHO</t>
        </is>
      </c>
      <c r="C194" s="4" t="inlineStr">
        <is>
          <t>CE</t>
        </is>
      </c>
      <c r="D194" s="4" t="inlineStr">
        <is>
          <t>Wind</t>
        </is>
      </c>
      <c r="E194" s="7" t="inlineStr">
        <is>
          <t>— unmapped —</t>
        </is>
      </c>
      <c r="F194" s="14" t="inlineStr">
        <is>
          <t>L</t>
        </is>
      </c>
      <c r="G194" s="21" t="n">
        <v>21.7</v>
      </c>
      <c r="H194" s="10">
        <f>G194/Assumptions!$B$7</f>
        <v/>
      </c>
      <c r="I194" s="22">
        <f>G194*1000*Assumptions!$B$8/1000000</f>
        <v/>
      </c>
      <c r="J194" s="23" t="n">
        <v>15</v>
      </c>
      <c r="K194" s="10" t="n">
        <v>0.5903601254786119</v>
      </c>
      <c r="L194" s="8" t="n">
        <v>0</v>
      </c>
      <c r="M194" s="7" t="inlineStr"/>
    </row>
    <row r="195">
      <c r="A195" s="4" t="n">
        <v>191</v>
      </c>
      <c r="B195" s="5" t="inlineStr">
        <is>
          <t>FRANCISCO SA</t>
        </is>
      </c>
      <c r="C195" s="4" t="inlineStr">
        <is>
          <t>MG</t>
        </is>
      </c>
      <c r="D195" s="4" t="inlineStr">
        <is>
          <t>Solar</t>
        </is>
      </c>
      <c r="E195" s="7" t="inlineStr">
        <is>
          <t>FRANCISCO SA 1 ENERGIAS RENOVAVEIS S.A. (SPE only)</t>
        </is>
      </c>
      <c r="F195" s="14" t="inlineStr">
        <is>
          <t>L</t>
        </is>
      </c>
      <c r="G195" s="21" t="n">
        <v>21.1</v>
      </c>
      <c r="H195" s="10">
        <f>G195/Assumptions!$B$7</f>
        <v/>
      </c>
      <c r="I195" s="22">
        <f>G195*1000*Assumptions!$B$8/1000000</f>
        <v/>
      </c>
      <c r="J195" s="23" t="n">
        <v>38.2</v>
      </c>
      <c r="K195" s="10" t="n">
        <v>0.3559218315038381</v>
      </c>
      <c r="L195" s="8" t="n">
        <v>99</v>
      </c>
      <c r="M195" s="7" t="inlineStr">
        <is>
          <t>FRANCISCO SA 1 ENERGIAS RENOVAVEIS S.A.; FRANCISCO SA 2 ENERGIAS RENOVAVEIS S.A.; FRANCISCO SA 3 ENERGIAS RENOVAVEIS S.A.</t>
        </is>
      </c>
    </row>
    <row r="196">
      <c r="A196" s="4" t="n">
        <v>192</v>
      </c>
      <c r="B196" s="5" t="inlineStr">
        <is>
          <t>TACARATU</t>
        </is>
      </c>
      <c r="C196" s="4" t="inlineStr">
        <is>
          <t>PE</t>
        </is>
      </c>
      <c r="D196" s="4" t="inlineStr">
        <is>
          <t>Solar</t>
        </is>
      </c>
      <c r="E196" s="7" t="inlineStr">
        <is>
          <t>ENEL SOLUCOES ENERGETICAS LTDA (SPE only)</t>
        </is>
      </c>
      <c r="F196" s="14" t="inlineStr">
        <is>
          <t>L</t>
        </is>
      </c>
      <c r="G196" s="21" t="n">
        <v>20.5</v>
      </c>
      <c r="H196" s="10">
        <f>G196/Assumptions!$B$7</f>
        <v/>
      </c>
      <c r="I196" s="22">
        <f>G196*1000*Assumptions!$B$8/1000000</f>
        <v/>
      </c>
      <c r="J196" s="23" t="n">
        <v>44.8</v>
      </c>
      <c r="K196" s="10" t="n">
        <v>0.3136161535817057</v>
      </c>
      <c r="L196" s="8" t="n">
        <v>10</v>
      </c>
      <c r="M196" s="7" t="inlineStr">
        <is>
          <t>ENEL SOLUCOES ENERGETICAS LTDA</t>
        </is>
      </c>
    </row>
    <row r="197">
      <c r="A197" s="4" t="n">
        <v>193</v>
      </c>
      <c r="B197" s="5" t="inlineStr">
        <is>
          <t>FOTOVOLTAICO GILBUES II</t>
        </is>
      </c>
      <c r="C197" s="4" t="inlineStr">
        <is>
          <t>PI</t>
        </is>
      </c>
      <c r="D197" s="4" t="inlineStr">
        <is>
          <t>Solar</t>
        </is>
      </c>
      <c r="E197" s="7" t="inlineStr">
        <is>
          <t>— unmapped —</t>
        </is>
      </c>
      <c r="F197" s="14" t="inlineStr">
        <is>
          <t>L</t>
        </is>
      </c>
      <c r="G197" s="21" t="n">
        <v>20.4</v>
      </c>
      <c r="H197" s="10">
        <f>G197/Assumptions!$B$7</f>
        <v/>
      </c>
      <c r="I197" s="22">
        <f>G197*1000*Assumptions!$B$8/1000000</f>
        <v/>
      </c>
      <c r="J197" s="23" t="n">
        <v>14.9</v>
      </c>
      <c r="K197" s="10" t="n">
        <v>0.5779811603784478</v>
      </c>
      <c r="L197" s="8" t="n">
        <v>0</v>
      </c>
      <c r="M197" s="7" t="inlineStr"/>
    </row>
    <row r="198">
      <c r="A198" s="4" t="n">
        <v>194</v>
      </c>
      <c r="B198" s="5" t="inlineStr">
        <is>
          <t>PAULINO NEVES</t>
        </is>
      </c>
      <c r="C198" s="4" t="inlineStr">
        <is>
          <t>MA</t>
        </is>
      </c>
      <c r="D198" s="4" t="inlineStr">
        <is>
          <t>Wind</t>
        </is>
      </c>
      <c r="E198" s="7" t="inlineStr">
        <is>
          <t>DELTA 3 VI ENERGIA S.A. (SPE only)</t>
        </is>
      </c>
      <c r="F198" s="14" t="inlineStr">
        <is>
          <t>L</t>
        </is>
      </c>
      <c r="G198" s="21" t="n">
        <v>19.9</v>
      </c>
      <c r="H198" s="10">
        <f>G198/Assumptions!$B$7</f>
        <v/>
      </c>
      <c r="I198" s="22">
        <f>G198*1000*Assumptions!$B$8/1000000</f>
        <v/>
      </c>
      <c r="J198" s="23" t="n">
        <v>191.4</v>
      </c>
      <c r="K198" s="10" t="n">
        <v>0.09435197536093466</v>
      </c>
      <c r="L198" s="8" t="n">
        <v>426</v>
      </c>
      <c r="M198" s="7" t="inlineStr">
        <is>
          <t>DELTA 3 VI ENERGIA S.A.; DELTA 3 V ENERGIA S.A.; DELTA 3 VII ENERGIA S.A.</t>
        </is>
      </c>
    </row>
    <row r="199">
      <c r="A199" s="4" t="n">
        <v>195</v>
      </c>
      <c r="B199" s="5" t="inlineStr">
        <is>
          <t>EOLICO MOSSORO II</t>
        </is>
      </c>
      <c r="C199" s="4" t="inlineStr">
        <is>
          <t>RN</t>
        </is>
      </c>
      <c r="D199" s="4" t="inlineStr">
        <is>
          <t>Wind</t>
        </is>
      </c>
      <c r="E199" s="7" t="inlineStr">
        <is>
          <t>— unmapped —</t>
        </is>
      </c>
      <c r="F199" s="14" t="inlineStr">
        <is>
          <t>L</t>
        </is>
      </c>
      <c r="G199" s="21" t="n">
        <v>19.8</v>
      </c>
      <c r="H199" s="10">
        <f>G199/Assumptions!$B$7</f>
        <v/>
      </c>
      <c r="I199" s="22">
        <f>G199*1000*Assumptions!$B$8/1000000</f>
        <v/>
      </c>
      <c r="J199" s="23" t="n">
        <v>24.8</v>
      </c>
      <c r="K199" s="10" t="n">
        <v>0.4436180829167717</v>
      </c>
      <c r="L199" s="8" t="n">
        <v>0</v>
      </c>
      <c r="M199" s="7" t="inlineStr"/>
    </row>
    <row r="200">
      <c r="A200" s="4" t="n">
        <v>196</v>
      </c>
      <c r="B200" s="5" t="inlineStr">
        <is>
          <t>SOL DO PIAUI</t>
        </is>
      </c>
      <c r="C200" s="4" t="inlineStr">
        <is>
          <t>PI</t>
        </is>
      </c>
      <c r="D200" s="4" t="inlineStr">
        <is>
          <t>Solar</t>
        </is>
      </c>
      <c r="E200" s="7" t="inlineStr">
        <is>
          <t>— unmapped —</t>
        </is>
      </c>
      <c r="F200" s="14" t="inlineStr">
        <is>
          <t>L</t>
        </is>
      </c>
      <c r="G200" s="21" t="n">
        <v>18.8</v>
      </c>
      <c r="H200" s="10">
        <f>G200/Assumptions!$B$7</f>
        <v/>
      </c>
      <c r="I200" s="22">
        <f>G200*1000*Assumptions!$B$8/1000000</f>
        <v/>
      </c>
      <c r="J200" s="23" t="n">
        <v>36</v>
      </c>
      <c r="K200" s="10" t="n">
        <v>0.342984303333277</v>
      </c>
      <c r="L200" s="8" t="n">
        <v>0</v>
      </c>
      <c r="M200" s="7" t="inlineStr"/>
    </row>
    <row r="201">
      <c r="A201" s="4" t="n">
        <v>197</v>
      </c>
      <c r="B201" s="5" t="inlineStr">
        <is>
          <t>SANTA LUZIA II</t>
        </is>
      </c>
      <c r="C201" s="4" t="inlineStr">
        <is>
          <t>PB</t>
        </is>
      </c>
      <c r="D201" s="4" t="inlineStr">
        <is>
          <t>Solar</t>
        </is>
      </c>
      <c r="E201" s="7" t="inlineStr">
        <is>
          <t>— unmapped —</t>
        </is>
      </c>
      <c r="F201" s="14" t="inlineStr">
        <is>
          <t>L</t>
        </is>
      </c>
      <c r="G201" s="21" t="n">
        <v>18.7</v>
      </c>
      <c r="H201" s="10">
        <f>G201/Assumptions!$B$7</f>
        <v/>
      </c>
      <c r="I201" s="22">
        <f>G201*1000*Assumptions!$B$8/1000000</f>
        <v/>
      </c>
      <c r="J201" s="23" t="n">
        <v>36.8</v>
      </c>
      <c r="K201" s="10" t="n">
        <v>0.3369699856812737</v>
      </c>
      <c r="L201" s="8" t="n">
        <v>0</v>
      </c>
      <c r="M201" s="7" t="inlineStr"/>
    </row>
    <row r="202">
      <c r="A202" s="4" t="n">
        <v>198</v>
      </c>
      <c r="B202" s="5" t="inlineStr">
        <is>
          <t>CHAPADINHA</t>
        </is>
      </c>
      <c r="C202" s="4" t="inlineStr">
        <is>
          <t>PI</t>
        </is>
      </c>
      <c r="D202" s="4" t="inlineStr">
        <is>
          <t>Wind</t>
        </is>
      </c>
      <c r="E202" s="7" t="inlineStr">
        <is>
          <t>— unmapped —</t>
        </is>
      </c>
      <c r="F202" s="14" t="inlineStr">
        <is>
          <t>L</t>
        </is>
      </c>
      <c r="G202" s="21" t="n">
        <v>18.1</v>
      </c>
      <c r="H202" s="10">
        <f>G202/Assumptions!$B$7</f>
        <v/>
      </c>
      <c r="I202" s="22">
        <f>G202*1000*Assumptions!$B$8/1000000</f>
        <v/>
      </c>
      <c r="J202" s="23" t="n">
        <v>8</v>
      </c>
      <c r="K202" s="10" t="n">
        <v>0.6927328656512006</v>
      </c>
      <c r="L202" s="8" t="n">
        <v>0</v>
      </c>
      <c r="M202" s="7" t="inlineStr"/>
    </row>
    <row r="203">
      <c r="A203" s="4" t="n">
        <v>199</v>
      </c>
      <c r="B203" s="5" t="inlineStr">
        <is>
          <t>EOL ICARAIZINHO</t>
        </is>
      </c>
      <c r="C203" s="4" t="inlineStr">
        <is>
          <t>CE</t>
        </is>
      </c>
      <c r="D203" s="4" t="inlineStr">
        <is>
          <t>Wind</t>
        </is>
      </c>
      <c r="E203" s="7" t="inlineStr">
        <is>
          <t>— unmapped —</t>
        </is>
      </c>
      <c r="F203" s="14" t="inlineStr">
        <is>
          <t>L</t>
        </is>
      </c>
      <c r="G203" s="21" t="n">
        <v>17.4</v>
      </c>
      <c r="H203" s="10">
        <f>G203/Assumptions!$B$7</f>
        <v/>
      </c>
      <c r="I203" s="22">
        <f>G203*1000*Assumptions!$B$8/1000000</f>
        <v/>
      </c>
      <c r="J203" s="23" t="n">
        <v>31</v>
      </c>
      <c r="K203" s="10" t="n">
        <v>0.3588557486155604</v>
      </c>
      <c r="L203" s="8" t="n">
        <v>0</v>
      </c>
      <c r="M203" s="7" t="inlineStr"/>
    </row>
    <row r="204">
      <c r="A204" s="4" t="n">
        <v>200</v>
      </c>
      <c r="B204" s="5" t="inlineStr">
        <is>
          <t>CALANGO 1</t>
        </is>
      </c>
      <c r="C204" s="4" t="inlineStr">
        <is>
          <t>RN</t>
        </is>
      </c>
      <c r="D204" s="4" t="inlineStr">
        <is>
          <t>Wind</t>
        </is>
      </c>
      <c r="E204" s="7" t="inlineStr">
        <is>
          <t>CALANGO 1 ENERGIA RENOVAVEL S/A. (SPE only)</t>
        </is>
      </c>
      <c r="F204" s="14" t="inlineStr">
        <is>
          <t>L</t>
        </is>
      </c>
      <c r="G204" s="21" t="n">
        <v>16.6</v>
      </c>
      <c r="H204" s="10">
        <f>G204/Assumptions!$B$7</f>
        <v/>
      </c>
      <c r="I204" s="22">
        <f>G204*1000*Assumptions!$B$8/1000000</f>
        <v/>
      </c>
      <c r="J204" s="23" t="n">
        <v>22.1</v>
      </c>
      <c r="K204" s="10" t="n">
        <v>0.428580907968461</v>
      </c>
      <c r="L204" s="8" t="n">
        <v>60</v>
      </c>
      <c r="M204" s="7" t="inlineStr">
        <is>
          <t>CALANGO 1 ENERGIA RENOVAVEL S/A.; CALANGO 3 ENERGIA RENOVAVEL S/A.</t>
        </is>
      </c>
    </row>
    <row r="205">
      <c r="A205" s="4" t="n">
        <v>201</v>
      </c>
      <c r="B205" s="5" t="inlineStr">
        <is>
          <t>MALHADINHA 1</t>
        </is>
      </c>
      <c r="C205" s="4" t="inlineStr">
        <is>
          <t>CE</t>
        </is>
      </c>
      <c r="D205" s="4" t="inlineStr">
        <is>
          <t>Wind</t>
        </is>
      </c>
      <c r="E205" s="7" t="inlineStr">
        <is>
          <t>— unmapped —</t>
        </is>
      </c>
      <c r="F205" s="14" t="inlineStr">
        <is>
          <t>L</t>
        </is>
      </c>
      <c r="G205" s="21" t="n">
        <v>15.8</v>
      </c>
      <c r="H205" s="10">
        <f>G205/Assumptions!$B$7</f>
        <v/>
      </c>
      <c r="I205" s="22">
        <f>G205*1000*Assumptions!$B$8/1000000</f>
        <v/>
      </c>
      <c r="J205" s="23" t="n">
        <v>12.7</v>
      </c>
      <c r="K205" s="10" t="n">
        <v>0.5542350990907007</v>
      </c>
      <c r="L205" s="8" t="n">
        <v>0</v>
      </c>
      <c r="M205" s="7" t="inlineStr"/>
    </row>
    <row r="206">
      <c r="A206" s="4" t="n">
        <v>202</v>
      </c>
      <c r="B206" s="5" t="inlineStr">
        <is>
          <t>ABIL II</t>
        </is>
      </c>
      <c r="C206" s="4" t="inlineStr">
        <is>
          <t>BA</t>
        </is>
      </c>
      <c r="D206" s="4" t="inlineStr">
        <is>
          <t>Wind</t>
        </is>
      </c>
      <c r="E206" s="7" t="inlineStr">
        <is>
          <t>— unmapped —</t>
        </is>
      </c>
      <c r="F206" s="14" t="inlineStr">
        <is>
          <t>L</t>
        </is>
      </c>
      <c r="G206" s="21" t="n">
        <v>15.5</v>
      </c>
      <c r="H206" s="10">
        <f>G206/Assumptions!$B$7</f>
        <v/>
      </c>
      <c r="I206" s="22">
        <f>G206*1000*Assumptions!$B$8/1000000</f>
        <v/>
      </c>
      <c r="J206" s="23" t="n">
        <v>3.5</v>
      </c>
      <c r="K206" s="10" t="n">
        <v>0.8150408609024055</v>
      </c>
      <c r="L206" s="8" t="n">
        <v>0</v>
      </c>
      <c r="M206" s="7" t="inlineStr"/>
    </row>
    <row r="207">
      <c r="A207" s="4" t="n">
        <v>203</v>
      </c>
      <c r="B207" s="5" t="inlineStr">
        <is>
          <t>CASA NOVA</t>
        </is>
      </c>
      <c r="C207" s="4" t="inlineStr">
        <is>
          <t>BA</t>
        </is>
      </c>
      <c r="D207" s="4" t="inlineStr">
        <is>
          <t>Wind</t>
        </is>
      </c>
      <c r="E207" s="7" t="inlineStr">
        <is>
          <t>AXIA ENERGIA NORDESTE S.A. (SPE only)</t>
        </is>
      </c>
      <c r="F207" s="14" t="inlineStr">
        <is>
          <t>L</t>
        </is>
      </c>
      <c r="G207" s="21" t="n">
        <v>15.5</v>
      </c>
      <c r="H207" s="10">
        <f>G207/Assumptions!$B$7</f>
        <v/>
      </c>
      <c r="I207" s="22">
        <f>G207*1000*Assumptions!$B$8/1000000</f>
        <v/>
      </c>
      <c r="J207" s="23" t="n">
        <v>20.5</v>
      </c>
      <c r="K207" s="10" t="n">
        <v>0.4305991594558159</v>
      </c>
      <c r="L207" s="8" t="n">
        <v>88</v>
      </c>
      <c r="M207" s="7" t="inlineStr">
        <is>
          <t>AXIA ENERGIA NORDESTE S.A.</t>
        </is>
      </c>
    </row>
    <row r="208">
      <c r="A208" s="4" t="n">
        <v>204</v>
      </c>
      <c r="B208" s="5" t="inlineStr">
        <is>
          <t>ASSU V</t>
        </is>
      </c>
      <c r="C208" s="4" t="inlineStr">
        <is>
          <t>RN</t>
        </is>
      </c>
      <c r="D208" s="4" t="inlineStr">
        <is>
          <t>Solar</t>
        </is>
      </c>
      <c r="E208" s="7" t="inlineStr">
        <is>
          <t>— unmapped —</t>
        </is>
      </c>
      <c r="F208" s="14" t="inlineStr">
        <is>
          <t>L</t>
        </is>
      </c>
      <c r="G208" s="21" t="n">
        <v>15.3</v>
      </c>
      <c r="H208" s="10">
        <f>G208/Assumptions!$B$7</f>
        <v/>
      </c>
      <c r="I208" s="22">
        <f>G208*1000*Assumptions!$B$8/1000000</f>
        <v/>
      </c>
      <c r="J208" s="23" t="n">
        <v>18</v>
      </c>
      <c r="K208" s="10" t="n">
        <v>0.4597124610297046</v>
      </c>
      <c r="L208" s="8" t="n">
        <v>0</v>
      </c>
      <c r="M208" s="7" t="inlineStr"/>
    </row>
    <row r="209">
      <c r="A209" s="4" t="n">
        <v>205</v>
      </c>
      <c r="B209" s="5" t="inlineStr">
        <is>
          <t>FOLHA DE SERRA</t>
        </is>
      </c>
      <c r="C209" s="4" t="inlineStr">
        <is>
          <t>BA</t>
        </is>
      </c>
      <c r="D209" s="4" t="inlineStr">
        <is>
          <t>Wind</t>
        </is>
      </c>
      <c r="E209" s="7" t="inlineStr">
        <is>
          <t>— unmapped —</t>
        </is>
      </c>
      <c r="F209" s="14" t="inlineStr">
        <is>
          <t>L</t>
        </is>
      </c>
      <c r="G209" s="21" t="n">
        <v>15</v>
      </c>
      <c r="H209" s="10">
        <f>G209/Assumptions!$B$7</f>
        <v/>
      </c>
      <c r="I209" s="22">
        <f>G209*1000*Assumptions!$B$8/1000000</f>
        <v/>
      </c>
      <c r="J209" s="23" t="n">
        <v>6.1</v>
      </c>
      <c r="K209" s="10" t="n">
        <v>0.7105408224974817</v>
      </c>
      <c r="L209" s="8" t="n">
        <v>0</v>
      </c>
      <c r="M209" s="7" t="inlineStr"/>
    </row>
    <row r="210">
      <c r="A210" s="4" t="n">
        <v>206</v>
      </c>
      <c r="B210" s="5" t="inlineStr">
        <is>
          <t>SERRA DE SANTANA 1 E 2</t>
        </is>
      </c>
      <c r="C210" s="4" t="inlineStr">
        <is>
          <t>RN</t>
        </is>
      </c>
      <c r="D210" s="4" t="inlineStr">
        <is>
          <t>Wind</t>
        </is>
      </c>
      <c r="E210" s="7" t="inlineStr">
        <is>
          <t>— unmapped —</t>
        </is>
      </c>
      <c r="F210" s="14" t="inlineStr">
        <is>
          <t>L</t>
        </is>
      </c>
      <c r="G210" s="21" t="n">
        <v>14.7</v>
      </c>
      <c r="H210" s="10">
        <f>G210/Assumptions!$B$7</f>
        <v/>
      </c>
      <c r="I210" s="22">
        <f>G210*1000*Assumptions!$B$8/1000000</f>
        <v/>
      </c>
      <c r="J210" s="23" t="n">
        <v>16.5</v>
      </c>
      <c r="K210" s="10" t="n">
        <v>0.4706623381846233</v>
      </c>
      <c r="L210" s="8" t="n">
        <v>0</v>
      </c>
      <c r="M210" s="7" t="inlineStr"/>
    </row>
    <row r="211">
      <c r="A211" s="4" t="n">
        <v>207</v>
      </c>
      <c r="B211" s="5" t="inlineStr">
        <is>
          <t>SERRA DE SANTANA 3</t>
        </is>
      </c>
      <c r="C211" s="4" t="inlineStr">
        <is>
          <t>RN</t>
        </is>
      </c>
      <c r="D211" s="4" t="inlineStr">
        <is>
          <t>Wind</t>
        </is>
      </c>
      <c r="E211" s="7" t="inlineStr">
        <is>
          <t>— unmapped —</t>
        </is>
      </c>
      <c r="F211" s="14" t="inlineStr">
        <is>
          <t>L</t>
        </is>
      </c>
      <c r="G211" s="21" t="n">
        <v>14.5</v>
      </c>
      <c r="H211" s="10">
        <f>G211/Assumptions!$B$7</f>
        <v/>
      </c>
      <c r="I211" s="22">
        <f>G211*1000*Assumptions!$B$8/1000000</f>
        <v/>
      </c>
      <c r="J211" s="23" t="n">
        <v>16.4</v>
      </c>
      <c r="K211" s="10" t="n">
        <v>0.4679178662721477</v>
      </c>
      <c r="L211" s="8" t="n">
        <v>0</v>
      </c>
      <c r="M211" s="7" t="inlineStr"/>
    </row>
    <row r="212">
      <c r="A212" s="4" t="n">
        <v>208</v>
      </c>
      <c r="B212" s="5" t="inlineStr">
        <is>
          <t>LUZIA</t>
        </is>
      </c>
      <c r="C212" s="4" t="inlineStr">
        <is>
          <t>PB</t>
        </is>
      </c>
      <c r="D212" s="4" t="inlineStr">
        <is>
          <t>Solar</t>
        </is>
      </c>
      <c r="E212" s="7" t="inlineStr">
        <is>
          <t>LUZIA 2 ENERGIA RENOVAVEL S.A. (SPE only)</t>
        </is>
      </c>
      <c r="F212" s="14" t="inlineStr">
        <is>
          <t>L</t>
        </is>
      </c>
      <c r="G212" s="21" t="n">
        <v>14.4</v>
      </c>
      <c r="H212" s="10">
        <f>G212/Assumptions!$B$7</f>
        <v/>
      </c>
      <c r="I212" s="22">
        <f>G212*1000*Assumptions!$B$8/1000000</f>
        <v/>
      </c>
      <c r="J212" s="23" t="n">
        <v>32.2</v>
      </c>
      <c r="K212" s="10" t="n">
        <v>0.3095972619393052</v>
      </c>
      <c r="L212" s="8" t="n">
        <v>118</v>
      </c>
      <c r="M212" s="7" t="inlineStr">
        <is>
          <t>LUZIA 2 ENERGIA RENOVAVEL S.A.; LUZIA 3 ENERGIA RENOVAVEL S.A.</t>
        </is>
      </c>
    </row>
    <row r="213">
      <c r="A213" s="4" t="n">
        <v>209</v>
      </c>
      <c r="B213" s="5" t="inlineStr">
        <is>
          <t>JUAZEIRO SOLAR</t>
        </is>
      </c>
      <c r="C213" s="4" t="inlineStr">
        <is>
          <t>BA</t>
        </is>
      </c>
      <c r="D213" s="4" t="inlineStr">
        <is>
          <t>Solar</t>
        </is>
      </c>
      <c r="E213" s="7" t="inlineStr">
        <is>
          <t>— unmapped —</t>
        </is>
      </c>
      <c r="F213" s="14" t="inlineStr">
        <is>
          <t>L</t>
        </is>
      </c>
      <c r="G213" s="21" t="n">
        <v>14.1</v>
      </c>
      <c r="H213" s="10">
        <f>G213/Assumptions!$B$7</f>
        <v/>
      </c>
      <c r="I213" s="22">
        <f>G213*1000*Assumptions!$B$8/1000000</f>
        <v/>
      </c>
      <c r="J213" s="23" t="n">
        <v>33.1</v>
      </c>
      <c r="K213" s="10" t="n">
        <v>0.2979996134681581</v>
      </c>
      <c r="L213" s="8" t="n">
        <v>0</v>
      </c>
      <c r="M213" s="7" t="inlineStr"/>
    </row>
    <row r="214">
      <c r="A214" s="4" t="n">
        <v>210</v>
      </c>
      <c r="B214" s="5" t="inlineStr">
        <is>
          <t>ARAXA</t>
        </is>
      </c>
      <c r="C214" s="4" t="inlineStr">
        <is>
          <t>MG</t>
        </is>
      </c>
      <c r="D214" s="4" t="inlineStr">
        <is>
          <t>Solar</t>
        </is>
      </c>
      <c r="E214" s="7" t="inlineStr">
        <is>
          <t>USINA DE ENERGIA FOTOVOLTAICA ARAXA S.A. (SPE only)</t>
        </is>
      </c>
      <c r="F214" s="14" t="inlineStr">
        <is>
          <t>L</t>
        </is>
      </c>
      <c r="G214" s="21" t="n">
        <v>13</v>
      </c>
      <c r="H214" s="10">
        <f>G214/Assumptions!$B$7</f>
        <v/>
      </c>
      <c r="I214" s="22">
        <f>G214*1000*Assumptions!$B$8/1000000</f>
        <v/>
      </c>
      <c r="J214" s="23" t="n">
        <v>42</v>
      </c>
      <c r="K214" s="10" t="n">
        <v>0.2360147527382296</v>
      </c>
      <c r="L214" s="8" t="n">
        <v>90</v>
      </c>
      <c r="M214" s="7" t="inlineStr">
        <is>
          <t>USINA DE ENERGIA FOTOVOLTAICA ARAXA S.A.</t>
        </is>
      </c>
    </row>
    <row r="215">
      <c r="A215" s="4" t="n">
        <v>211</v>
      </c>
      <c r="B215" s="5" t="inlineStr">
        <is>
          <t>CALANGO 2</t>
        </is>
      </c>
      <c r="C215" s="4" t="inlineStr">
        <is>
          <t>RN</t>
        </is>
      </c>
      <c r="D215" s="4" t="inlineStr">
        <is>
          <t>Wind</t>
        </is>
      </c>
      <c r="E215" s="7" t="inlineStr">
        <is>
          <t>CALANGO 2 ENERGIA RENOVAVEL S/A (SPE only)</t>
        </is>
      </c>
      <c r="F215" s="14" t="inlineStr">
        <is>
          <t>L</t>
        </is>
      </c>
      <c r="G215" s="21" t="n">
        <v>12.9</v>
      </c>
      <c r="H215" s="10">
        <f>G215/Assumptions!$B$7</f>
        <v/>
      </c>
      <c r="I215" s="22">
        <f>G215*1000*Assumptions!$B$8/1000000</f>
        <v/>
      </c>
      <c r="J215" s="23" t="n">
        <v>22.8</v>
      </c>
      <c r="K215" s="10" t="n">
        <v>0.3609384355515201</v>
      </c>
      <c r="L215" s="8" t="n">
        <v>90</v>
      </c>
      <c r="M215" s="7" t="inlineStr">
        <is>
          <t>CALANGO 2 ENERGIA RENOVAVEL S/A; CALANGO 4 ENERGIA RENOVAVEL S/A.; CALANGO 5 ENERGIA RENOVAVEL S/A.</t>
        </is>
      </c>
    </row>
    <row r="216">
      <c r="A216" s="4" t="n">
        <v>212</v>
      </c>
      <c r="B216" s="5" t="inlineStr">
        <is>
          <t>TACARATU II</t>
        </is>
      </c>
      <c r="C216" s="4" t="inlineStr">
        <is>
          <t>PE</t>
        </is>
      </c>
      <c r="D216" s="4" t="inlineStr">
        <is>
          <t>Wind</t>
        </is>
      </c>
      <c r="E216" s="7" t="inlineStr">
        <is>
          <t>— unmapped —</t>
        </is>
      </c>
      <c r="F216" s="14" t="inlineStr">
        <is>
          <t>L</t>
        </is>
      </c>
      <c r="G216" s="21" t="n">
        <v>12.6</v>
      </c>
      <c r="H216" s="10">
        <f>G216/Assumptions!$B$7</f>
        <v/>
      </c>
      <c r="I216" s="22">
        <f>G216*1000*Assumptions!$B$8/1000000</f>
        <v/>
      </c>
      <c r="J216" s="23" t="n">
        <v>21.6</v>
      </c>
      <c r="K216" s="10" t="n">
        <v>0.3694271317852026</v>
      </c>
      <c r="L216" s="8" t="n">
        <v>0</v>
      </c>
      <c r="M216" s="7" t="inlineStr"/>
    </row>
    <row r="217">
      <c r="A217" s="4" t="n">
        <v>213</v>
      </c>
      <c r="B217" s="5" t="inlineStr">
        <is>
          <t>CONJUNTO FOTOVOLTAICO SANTA LUZIA II</t>
        </is>
      </c>
      <c r="C217" s="4" t="inlineStr">
        <is>
          <t>PB</t>
        </is>
      </c>
      <c r="D217" s="4" t="inlineStr">
        <is>
          <t>Solar</t>
        </is>
      </c>
      <c r="E217" s="7" t="inlineStr">
        <is>
          <t>— unmapped —</t>
        </is>
      </c>
      <c r="F217" s="14" t="inlineStr">
        <is>
          <t>L</t>
        </is>
      </c>
      <c r="G217" s="21" t="n">
        <v>12</v>
      </c>
      <c r="H217" s="10">
        <f>G217/Assumptions!$B$7</f>
        <v/>
      </c>
      <c r="I217" s="22">
        <f>G217*1000*Assumptions!$B$8/1000000</f>
        <v/>
      </c>
      <c r="J217" s="23" t="n">
        <v>14.8</v>
      </c>
      <c r="K217" s="10" t="n">
        <v>0.4468264315902611</v>
      </c>
      <c r="L217" s="8" t="n">
        <v>0</v>
      </c>
      <c r="M217" s="7" t="inlineStr"/>
    </row>
    <row r="218">
      <c r="A218" s="4" t="n">
        <v>214</v>
      </c>
      <c r="B218" s="5" t="inlineStr">
        <is>
          <t>SERRA DE SANTANA</t>
        </is>
      </c>
      <c r="C218" s="4" t="inlineStr">
        <is>
          <t>RN</t>
        </is>
      </c>
      <c r="D218" s="4" t="inlineStr">
        <is>
          <t>Wind</t>
        </is>
      </c>
      <c r="E218" s="7" t="inlineStr">
        <is>
          <t>EOLICA LAGOA NOVA S.A. (SPE only)</t>
        </is>
      </c>
      <c r="F218" s="14" t="inlineStr">
        <is>
          <t>L</t>
        </is>
      </c>
      <c r="G218" s="21" t="n">
        <v>10.7</v>
      </c>
      <c r="H218" s="10">
        <f>G218/Assumptions!$B$7</f>
        <v/>
      </c>
      <c r="I218" s="22">
        <f>G218*1000*Assumptions!$B$8/1000000</f>
        <v/>
      </c>
      <c r="J218" s="23" t="n">
        <v>24.8</v>
      </c>
      <c r="K218" s="10" t="n">
        <v>0.3015282899673431</v>
      </c>
      <c r="L218" s="8" t="n">
        <v>204</v>
      </c>
      <c r="M218" s="7" t="inlineStr">
        <is>
          <t>EOLICA LAGOA NOVA S.A.; EOLICA SERIDO S.A. SUBSIDIARIA INTEGRAL; EOLICA SERRA DE SANTANA S.A.</t>
        </is>
      </c>
    </row>
    <row r="219">
      <c r="A219" s="4" t="n">
        <v>215</v>
      </c>
      <c r="B219" s="5" t="inlineStr">
        <is>
          <t>SAO GONCALO A</t>
        </is>
      </c>
      <c r="C219" s="4" t="inlineStr">
        <is>
          <t>PI</t>
        </is>
      </c>
      <c r="D219" s="4" t="inlineStr">
        <is>
          <t>Solar</t>
        </is>
      </c>
      <c r="E219" s="7" t="inlineStr">
        <is>
          <t>— unmapped —</t>
        </is>
      </c>
      <c r="F219" s="14" t="inlineStr">
        <is>
          <t>L</t>
        </is>
      </c>
      <c r="G219" s="21" t="n">
        <v>10.5</v>
      </c>
      <c r="H219" s="10">
        <f>G219/Assumptions!$B$7</f>
        <v/>
      </c>
      <c r="I219" s="22">
        <f>G219*1000*Assumptions!$B$8/1000000</f>
        <v/>
      </c>
      <c r="J219" s="23" t="n">
        <v>2.5</v>
      </c>
      <c r="K219" s="10" t="n">
        <v>0.8077402925279673</v>
      </c>
      <c r="L219" s="8" t="n">
        <v>0</v>
      </c>
      <c r="M219" s="7" t="inlineStr"/>
    </row>
    <row r="220">
      <c r="A220" s="4" t="n">
        <v>216</v>
      </c>
      <c r="B220" s="5" t="inlineStr">
        <is>
          <t>BOA HORA</t>
        </is>
      </c>
      <c r="C220" s="4" t="inlineStr">
        <is>
          <t>SP</t>
        </is>
      </c>
      <c r="D220" s="4" t="inlineStr">
        <is>
          <t>Solar</t>
        </is>
      </c>
      <c r="E220" s="7" t="inlineStr">
        <is>
          <t>BOA HORA 1 GERADORA DE ENERGIA SOLAR S.A (SPE only)</t>
        </is>
      </c>
      <c r="F220" s="14" t="inlineStr">
        <is>
          <t>L</t>
        </is>
      </c>
      <c r="G220" s="21" t="n">
        <v>10.5</v>
      </c>
      <c r="H220" s="10">
        <f>G220/Assumptions!$B$7</f>
        <v/>
      </c>
      <c r="I220" s="22">
        <f>G220*1000*Assumptions!$B$8/1000000</f>
        <v/>
      </c>
      <c r="J220" s="23" t="n">
        <v>54.1</v>
      </c>
      <c r="K220" s="10" t="n">
        <v>0.1623962827777269</v>
      </c>
      <c r="L220" s="8" t="n">
        <v>178</v>
      </c>
      <c r="M220" s="7" t="inlineStr">
        <is>
          <t>BOA HORA 1 GERADORA DE ENERGIA SOLAR S.A.; BOA HORA 2 GERADORA DE ENERGIA SOLAR S.A.; BOA HORA 3 GERADORA DE ENERGIA SOLAR S.A.</t>
        </is>
      </c>
    </row>
    <row r="221">
      <c r="A221" s="4" t="n">
        <v>217</v>
      </c>
      <c r="B221" s="5" t="inlineStr">
        <is>
          <t>EOLICO UMARI</t>
        </is>
      </c>
      <c r="C221" s="4" t="inlineStr">
        <is>
          <t>RN</t>
        </is>
      </c>
      <c r="D221" s="4" t="inlineStr">
        <is>
          <t>Wind</t>
        </is>
      </c>
      <c r="E221" s="7" t="inlineStr">
        <is>
          <t>— unmapped —</t>
        </is>
      </c>
      <c r="F221" s="14" t="inlineStr">
        <is>
          <t>L</t>
        </is>
      </c>
      <c r="G221" s="21" t="n">
        <v>10</v>
      </c>
      <c r="H221" s="10">
        <f>G221/Assumptions!$B$7</f>
        <v/>
      </c>
      <c r="I221" s="22">
        <f>G221*1000*Assumptions!$B$8/1000000</f>
        <v/>
      </c>
      <c r="J221" s="23" t="n">
        <v>18.5</v>
      </c>
      <c r="K221" s="10" t="n">
        <v>0.3516513563801126</v>
      </c>
      <c r="L221" s="8" t="n">
        <v>0</v>
      </c>
      <c r="M221" s="7" t="inlineStr"/>
    </row>
    <row r="222">
      <c r="A222" s="4" t="n">
        <v>218</v>
      </c>
      <c r="B222" s="5" t="inlineStr">
        <is>
          <t>VARZEA DA PALMA 7</t>
        </is>
      </c>
      <c r="C222" s="4" t="inlineStr">
        <is>
          <t>MG</t>
        </is>
      </c>
      <c r="D222" s="4" t="inlineStr">
        <is>
          <t>Solar</t>
        </is>
      </c>
      <c r="E222" s="7" t="inlineStr">
        <is>
          <t>GERADORA SOLAR VARZEA I SA (SPE only)</t>
        </is>
      </c>
      <c r="F222" s="14" t="inlineStr">
        <is>
          <t>L</t>
        </is>
      </c>
      <c r="G222" s="21" t="n">
        <v>9.800000000000001</v>
      </c>
      <c r="H222" s="10">
        <f>G222/Assumptions!$B$7</f>
        <v/>
      </c>
      <c r="I222" s="22">
        <f>G222*1000*Assumptions!$B$8/1000000</f>
        <v/>
      </c>
      <c r="J222" s="23" t="n">
        <v>29.1</v>
      </c>
      <c r="K222" s="10" t="n">
        <v>0.2520769674316899</v>
      </c>
      <c r="L222" s="8" t="n">
        <v>90</v>
      </c>
      <c r="M222" s="7" t="inlineStr">
        <is>
          <t>GERADORA SOLAR VARZEA I SA; GERADORA SOLAR VARZEA II SA</t>
        </is>
      </c>
    </row>
    <row r="223">
      <c r="A223" s="4" t="n">
        <v>219</v>
      </c>
      <c r="B223" s="5" t="inlineStr">
        <is>
          <t>VENTOS DO PIAUI II</t>
        </is>
      </c>
      <c r="C223" s="4" t="inlineStr">
        <is>
          <t>PI</t>
        </is>
      </c>
      <c r="D223" s="4" t="inlineStr">
        <is>
          <t>Wind</t>
        </is>
      </c>
      <c r="E223" s="7" t="inlineStr">
        <is>
          <t>— unmapped —</t>
        </is>
      </c>
      <c r="F223" s="14" t="inlineStr">
        <is>
          <t>L</t>
        </is>
      </c>
      <c r="G223" s="21" t="n">
        <v>9.5</v>
      </c>
      <c r="H223" s="10">
        <f>G223/Assumptions!$B$7</f>
        <v/>
      </c>
      <c r="I223" s="22">
        <f>G223*1000*Assumptions!$B$8/1000000</f>
        <v/>
      </c>
      <c r="J223" s="23" t="n">
        <v>5</v>
      </c>
      <c r="K223" s="10" t="n">
        <v>0.6551322853952953</v>
      </c>
      <c r="L223" s="8" t="n">
        <v>0</v>
      </c>
      <c r="M223" s="7" t="inlineStr"/>
    </row>
    <row r="224">
      <c r="A224" s="4" t="n">
        <v>220</v>
      </c>
      <c r="B224" s="5" t="inlineStr">
        <is>
          <t>VENTOS DO PIAUI III</t>
        </is>
      </c>
      <c r="C224" s="4" t="inlineStr">
        <is>
          <t>PI</t>
        </is>
      </c>
      <c r="D224" s="4" t="inlineStr">
        <is>
          <t>Wind</t>
        </is>
      </c>
      <c r="E224" s="7" t="inlineStr">
        <is>
          <t>— unmapped —</t>
        </is>
      </c>
      <c r="F224" s="14" t="inlineStr">
        <is>
          <t>L</t>
        </is>
      </c>
      <c r="G224" s="21" t="n">
        <v>9.300000000000001</v>
      </c>
      <c r="H224" s="10">
        <f>G224/Assumptions!$B$7</f>
        <v/>
      </c>
      <c r="I224" s="22">
        <f>G224*1000*Assumptions!$B$8/1000000</f>
        <v/>
      </c>
      <c r="J224" s="23" t="n">
        <v>8.5</v>
      </c>
      <c r="K224" s="10" t="n">
        <v>0.5239583705069323</v>
      </c>
      <c r="L224" s="8" t="n">
        <v>0</v>
      </c>
      <c r="M224" s="7" t="inlineStr"/>
    </row>
    <row r="225">
      <c r="A225" s="4" t="n">
        <v>221</v>
      </c>
      <c r="B225" s="5" t="inlineStr">
        <is>
          <t>SAO BASILIO (EOLICO)</t>
        </is>
      </c>
      <c r="C225" s="4" t="inlineStr">
        <is>
          <t>PI</t>
        </is>
      </c>
      <c r="D225" s="4" t="inlineStr">
        <is>
          <t>Wind</t>
        </is>
      </c>
      <c r="E225" s="7" t="inlineStr">
        <is>
          <t>— unmapped —</t>
        </is>
      </c>
      <c r="F225" s="14" t="inlineStr">
        <is>
          <t>L</t>
        </is>
      </c>
      <c r="G225" s="21" t="n">
        <v>8.1</v>
      </c>
      <c r="H225" s="10">
        <f>G225/Assumptions!$B$7</f>
        <v/>
      </c>
      <c r="I225" s="22">
        <f>G225*1000*Assumptions!$B$8/1000000</f>
        <v/>
      </c>
      <c r="J225" s="23" t="n">
        <v>7.5</v>
      </c>
      <c r="K225" s="10" t="n">
        <v>0.5207991641139766</v>
      </c>
      <c r="L225" s="8" t="n">
        <v>0</v>
      </c>
      <c r="M225" s="7" t="inlineStr"/>
    </row>
    <row r="226">
      <c r="A226" s="4" t="n">
        <v>222</v>
      </c>
      <c r="B226" s="5" t="inlineStr">
        <is>
          <t>SOL DO FUTURO</t>
        </is>
      </c>
      <c r="C226" s="4" t="inlineStr">
        <is>
          <t>CE</t>
        </is>
      </c>
      <c r="D226" s="4" t="inlineStr">
        <is>
          <t>Solar</t>
        </is>
      </c>
      <c r="E226" s="7" t="inlineStr">
        <is>
          <t>CENTRAL FOTOVOLTAICA SOL DO FUTURO I S.A (SPE only)</t>
        </is>
      </c>
      <c r="F226" s="14" t="inlineStr">
        <is>
          <t>L</t>
        </is>
      </c>
      <c r="G226" s="21" t="n">
        <v>7.9</v>
      </c>
      <c r="H226" s="10">
        <f>G226/Assumptions!$B$7</f>
        <v/>
      </c>
      <c r="I226" s="22">
        <f>G226*1000*Assumptions!$B$8/1000000</f>
        <v/>
      </c>
      <c r="J226" s="23" t="n">
        <v>23.3</v>
      </c>
      <c r="K226" s="10" t="n">
        <v>0.2528713607338926</v>
      </c>
      <c r="L226" s="8" t="n">
        <v>81</v>
      </c>
      <c r="M226" s="7" t="inlineStr">
        <is>
          <t>CENTRAL FOTOVOLTAICA SOL DO FUTURO I S.A.; CENTRAL FOTOVOLTAICA SOL DO FUTURO II S.A.; CENTRAL FOTOVOLTAICA SOL DO FUTURO III S.A.</t>
        </is>
      </c>
    </row>
    <row r="227">
      <c r="A227" s="4" t="n">
        <v>223</v>
      </c>
      <c r="B227" s="5" t="inlineStr">
        <is>
          <t>EOLICO IGAPORA III</t>
        </is>
      </c>
      <c r="C227" s="4" t="inlineStr">
        <is>
          <t>BA</t>
        </is>
      </c>
      <c r="D227" s="4" t="inlineStr">
        <is>
          <t>Wind</t>
        </is>
      </c>
      <c r="E227" s="7" t="inlineStr">
        <is>
          <t>— unmapped —</t>
        </is>
      </c>
      <c r="F227" s="14" t="inlineStr">
        <is>
          <t>L</t>
        </is>
      </c>
      <c r="G227" s="21" t="n">
        <v>6.6</v>
      </c>
      <c r="H227" s="10">
        <f>G227/Assumptions!$B$7</f>
        <v/>
      </c>
      <c r="I227" s="22">
        <f>G227*1000*Assumptions!$B$8/1000000</f>
        <v/>
      </c>
      <c r="J227" s="23" t="n">
        <v>6</v>
      </c>
      <c r="K227" s="10" t="n">
        <v>0.5231161370401914</v>
      </c>
      <c r="L227" s="8" t="n">
        <v>0</v>
      </c>
      <c r="M227" s="7" t="inlineStr"/>
    </row>
    <row r="228">
      <c r="A228" s="4" t="n">
        <v>224</v>
      </c>
      <c r="B228" s="5" t="inlineStr">
        <is>
          <t>ASSU SOL</t>
        </is>
      </c>
      <c r="C228" s="4" t="inlineStr">
        <is>
          <t>RN</t>
        </is>
      </c>
      <c r="D228" s="4" t="inlineStr">
        <is>
          <t>Solar</t>
        </is>
      </c>
      <c r="E228" s="7" t="inlineStr">
        <is>
          <t>CENTRAL FOTOVOLTAICA ASSU SOL 1 LTDA. (SPE only)</t>
        </is>
      </c>
      <c r="F228" s="14" t="inlineStr">
        <is>
          <t>L</t>
        </is>
      </c>
      <c r="G228" s="21" t="n">
        <v>5.7</v>
      </c>
      <c r="H228" s="10">
        <f>G228/Assumptions!$B$7</f>
        <v/>
      </c>
      <c r="I228" s="22">
        <f>G228*1000*Assumptions!$B$8/1000000</f>
        <v/>
      </c>
      <c r="J228" s="23" t="n">
        <v>9.6</v>
      </c>
      <c r="K228" s="10" t="n">
        <v>0.3703093118093951</v>
      </c>
      <c r="L228" s="8" t="n">
        <v>753</v>
      </c>
      <c r="M228" s="7" t="inlineStr">
        <is>
          <t>CENTRAL FOTOVOLTAICA ASSU SOL 1 LTDA.; CENTRAL FOTOVOLTAICA ASSU SOL 2 LTDA.; CENTRAL FOTOVOLTAICA ASSU SOL 3 LTDA.</t>
        </is>
      </c>
    </row>
    <row r="229">
      <c r="A229" s="4" t="n">
        <v>225</v>
      </c>
      <c r="B229" s="5" t="inlineStr">
        <is>
          <t>SERRA DO TIGRE</t>
        </is>
      </c>
      <c r="C229" s="4" t="inlineStr">
        <is>
          <t>RN</t>
        </is>
      </c>
      <c r="D229" s="4" t="inlineStr">
        <is>
          <t>Wind</t>
        </is>
      </c>
      <c r="E229" s="7" t="inlineStr">
        <is>
          <t>Casa dos Ventos</t>
        </is>
      </c>
      <c r="F229" s="6" t="inlineStr">
        <is>
          <t>M</t>
        </is>
      </c>
      <c r="G229" s="21" t="n">
        <v>4.7</v>
      </c>
      <c r="H229" s="10">
        <f>G229/Assumptions!$B$7</f>
        <v/>
      </c>
      <c r="I229" s="22">
        <f>G229*1000*Assumptions!$B$8/1000000</f>
        <v/>
      </c>
      <c r="J229" s="23" t="n">
        <v>20.8</v>
      </c>
      <c r="K229" s="10" t="n">
        <v>0.183260451832202</v>
      </c>
      <c r="L229" s="8" t="n">
        <v>621</v>
      </c>
      <c r="M229" s="7" t="inlineStr">
        <is>
          <t>Ventos de Santa Tarsila Energias Renováveis S.A; Ventos de Santa Doroteia Energias Renováveis S.A.; Ventos de Santa Bertilla Energias Renováveis S.A.</t>
        </is>
      </c>
    </row>
    <row r="230">
      <c r="A230" s="4" t="n">
        <v>226</v>
      </c>
      <c r="B230" s="5" t="inlineStr">
        <is>
          <t>SIMPLICE</t>
        </is>
      </c>
      <c r="C230" s="4" t="inlineStr">
        <is>
          <t>RN</t>
        </is>
      </c>
      <c r="D230" s="4" t="inlineStr">
        <is>
          <t>Solar</t>
        </is>
      </c>
      <c r="E230" s="7" t="inlineStr">
        <is>
          <t>DUNAMIS PROJETOS DE ENERGIA FOTOVOLTAICA (SPE only)</t>
        </is>
      </c>
      <c r="F230" s="14" t="inlineStr">
        <is>
          <t>L</t>
        </is>
      </c>
      <c r="G230" s="21" t="n">
        <v>4.6</v>
      </c>
      <c r="H230" s="10">
        <f>G230/Assumptions!$B$7</f>
        <v/>
      </c>
      <c r="I230" s="22">
        <f>G230*1000*Assumptions!$B$8/1000000</f>
        <v/>
      </c>
      <c r="J230" s="23" t="n">
        <v>9.1</v>
      </c>
      <c r="K230" s="10" t="n">
        <v>0.3359317117692873</v>
      </c>
      <c r="L230" s="8" t="n">
        <v>118</v>
      </c>
      <c r="M230" s="7" t="inlineStr">
        <is>
          <t>Dunamis Projetos De Energia Fotovoltaica SPE LTDA.</t>
        </is>
      </c>
    </row>
    <row r="231">
      <c r="A231" s="4" t="n">
        <v>227</v>
      </c>
      <c r="B231" s="5" t="inlineStr">
        <is>
          <t>VENTOS DA BAHIA 2</t>
        </is>
      </c>
      <c r="C231" s="4" t="inlineStr">
        <is>
          <t>BA</t>
        </is>
      </c>
      <c r="D231" s="4" t="inlineStr">
        <is>
          <t>Wind</t>
        </is>
      </c>
      <c r="E231" s="7" t="inlineStr">
        <is>
          <t>— unmapped —</t>
        </is>
      </c>
      <c r="F231" s="14" t="inlineStr">
        <is>
          <t>L</t>
        </is>
      </c>
      <c r="G231" s="21" t="n">
        <v>4.4</v>
      </c>
      <c r="H231" s="10">
        <f>G231/Assumptions!$B$7</f>
        <v/>
      </c>
      <c r="I231" s="22">
        <f>G231*1000*Assumptions!$B$8/1000000</f>
        <v/>
      </c>
      <c r="J231" s="23" t="n">
        <v>1.8</v>
      </c>
      <c r="K231" s="10" t="n">
        <v>0.7052573939336898</v>
      </c>
      <c r="L231" s="8" t="n">
        <v>0</v>
      </c>
      <c r="M231" s="7" t="inlineStr"/>
    </row>
    <row r="232">
      <c r="A232" s="4" t="n">
        <v>228</v>
      </c>
      <c r="B232" s="5" t="inlineStr">
        <is>
          <t>PEREIRA BARRETO</t>
        </is>
      </c>
      <c r="C232" s="4" t="inlineStr">
        <is>
          <t>SP</t>
        </is>
      </c>
      <c r="D232" s="4" t="inlineStr">
        <is>
          <t>Solar</t>
        </is>
      </c>
      <c r="E232" s="7" t="inlineStr">
        <is>
          <t>CENTRAL SOLAR PEREIRA BARRETO I S.A. (SPE only)</t>
        </is>
      </c>
      <c r="F232" s="14" t="inlineStr">
        <is>
          <t>L</t>
        </is>
      </c>
      <c r="G232" s="21" t="n">
        <v>4.3</v>
      </c>
      <c r="H232" s="10">
        <f>G232/Assumptions!$B$7</f>
        <v/>
      </c>
      <c r="I232" s="22">
        <f>G232*1000*Assumptions!$B$8/1000000</f>
        <v/>
      </c>
      <c r="J232" s="23" t="n">
        <v>70.7</v>
      </c>
      <c r="K232" s="10" t="n">
        <v>0.05770237682647351</v>
      </c>
      <c r="L232" s="8" t="n">
        <v>458</v>
      </c>
      <c r="M232" s="7" t="inlineStr">
        <is>
          <t>CENTRAL SOLAR PEREIRA BARRETO I S.A.; CENTRAL SOLAR PEREIRA BARRETO II S.A.; CENTRAL SOLAR PEREIRA BARRETO III S.A.</t>
        </is>
      </c>
    </row>
    <row r="233">
      <c r="A233" s="4" t="n">
        <v>229</v>
      </c>
      <c r="B233" s="5" t="inlineStr">
        <is>
          <t>CONJUNTO JAIBA 4 DIST</t>
        </is>
      </c>
      <c r="C233" s="4" t="inlineStr">
        <is>
          <t>MG</t>
        </is>
      </c>
      <c r="D233" s="4" t="inlineStr">
        <is>
          <t>Solar</t>
        </is>
      </c>
      <c r="E233" s="7" t="inlineStr">
        <is>
          <t>— unmapped —</t>
        </is>
      </c>
      <c r="F233" s="14" t="inlineStr">
        <is>
          <t>L</t>
        </is>
      </c>
      <c r="G233" s="21" t="n">
        <v>4.3</v>
      </c>
      <c r="H233" s="10">
        <f>G233/Assumptions!$B$7</f>
        <v/>
      </c>
      <c r="I233" s="22">
        <f>G233*1000*Assumptions!$B$8/1000000</f>
        <v/>
      </c>
      <c r="J233" s="23" t="n">
        <v>9.4</v>
      </c>
      <c r="K233" s="10" t="n">
        <v>0.3137423253098506</v>
      </c>
      <c r="L233" s="8" t="n">
        <v>0</v>
      </c>
      <c r="M233" s="7" t="inlineStr"/>
    </row>
    <row r="234">
      <c r="A234" s="4" t="n">
        <v>230</v>
      </c>
      <c r="B234" s="5" t="inlineStr">
        <is>
          <t>JUAZEIRO II</t>
        </is>
      </c>
      <c r="C234" s="4" t="inlineStr">
        <is>
          <t>BA</t>
        </is>
      </c>
      <c r="D234" s="4" t="inlineStr">
        <is>
          <t>Solar</t>
        </is>
      </c>
      <c r="E234" s="7" t="inlineStr">
        <is>
          <t>— unmapped —</t>
        </is>
      </c>
      <c r="F234" s="14" t="inlineStr">
        <is>
          <t>L</t>
        </is>
      </c>
      <c r="G234" s="21" t="n">
        <v>4.1</v>
      </c>
      <c r="H234" s="10">
        <f>G234/Assumptions!$B$7</f>
        <v/>
      </c>
      <c r="I234" s="22">
        <f>G234*1000*Assumptions!$B$8/1000000</f>
        <v/>
      </c>
      <c r="J234" s="23" t="n">
        <v>13.2</v>
      </c>
      <c r="K234" s="10" t="n">
        <v>0.2387076435178727</v>
      </c>
      <c r="L234" s="8" t="n">
        <v>0</v>
      </c>
      <c r="M234" s="7" t="inlineStr"/>
    </row>
    <row r="235">
      <c r="A235" s="4" t="n">
        <v>231</v>
      </c>
      <c r="B235" s="5" t="inlineStr">
        <is>
          <t>SERRA DAS ALMAS II</t>
        </is>
      </c>
      <c r="C235" s="4" t="inlineStr">
        <is>
          <t>BA</t>
        </is>
      </c>
      <c r="D235" s="4" t="inlineStr">
        <is>
          <t>Wind</t>
        </is>
      </c>
      <c r="E235" s="7" t="inlineStr">
        <is>
          <t>— unmapped —</t>
        </is>
      </c>
      <c r="F235" s="14" t="inlineStr">
        <is>
          <t>L</t>
        </is>
      </c>
      <c r="G235" s="21" t="n">
        <v>3.8</v>
      </c>
      <c r="H235" s="10">
        <f>G235/Assumptions!$B$7</f>
        <v/>
      </c>
      <c r="I235" s="22">
        <f>G235*1000*Assumptions!$B$8/1000000</f>
        <v/>
      </c>
      <c r="J235" s="23" t="n">
        <v>15.2</v>
      </c>
      <c r="K235" s="10" t="n">
        <v>0.2009650182080492</v>
      </c>
      <c r="L235" s="8" t="n">
        <v>0</v>
      </c>
      <c r="M235" s="7" t="inlineStr"/>
    </row>
    <row r="236">
      <c r="A236" s="4" t="n">
        <v>232</v>
      </c>
      <c r="B236" s="5" t="inlineStr">
        <is>
          <t>MAURITI</t>
        </is>
      </c>
      <c r="C236" s="4" t="inlineStr">
        <is>
          <t>CE</t>
        </is>
      </c>
      <c r="D236" s="4" t="inlineStr">
        <is>
          <t>Solar</t>
        </is>
      </c>
      <c r="E236" s="7" t="inlineStr">
        <is>
          <t>— unmapped —</t>
        </is>
      </c>
      <c r="F236" s="14" t="inlineStr">
        <is>
          <t>L</t>
        </is>
      </c>
      <c r="G236" s="21" t="n">
        <v>3.8</v>
      </c>
      <c r="H236" s="10">
        <f>G236/Assumptions!$B$7</f>
        <v/>
      </c>
      <c r="I236" s="22">
        <f>G236*1000*Assumptions!$B$8/1000000</f>
        <v/>
      </c>
      <c r="J236" s="23" t="n">
        <v>4.2</v>
      </c>
      <c r="K236" s="10" t="n">
        <v>0.4743484497526828</v>
      </c>
      <c r="L236" s="8" t="n">
        <v>0</v>
      </c>
      <c r="M236" s="7" t="inlineStr"/>
    </row>
    <row r="237">
      <c r="A237" s="4" t="n">
        <v>233</v>
      </c>
      <c r="B237" s="5" t="inlineStr">
        <is>
          <t>VENTOS DA BAHIA III</t>
        </is>
      </c>
      <c r="C237" s="4" t="inlineStr">
        <is>
          <t>BA</t>
        </is>
      </c>
      <c r="D237" s="4" t="inlineStr">
        <is>
          <t>Wind</t>
        </is>
      </c>
      <c r="E237" s="7" t="inlineStr">
        <is>
          <t>— unmapped —</t>
        </is>
      </c>
      <c r="F237" s="14" t="inlineStr">
        <is>
          <t>L</t>
        </is>
      </c>
      <c r="G237" s="21" t="n">
        <v>3.6</v>
      </c>
      <c r="H237" s="10">
        <f>G237/Assumptions!$B$7</f>
        <v/>
      </c>
      <c r="I237" s="22">
        <f>G237*1000*Assumptions!$B$8/1000000</f>
        <v/>
      </c>
      <c r="J237" s="23" t="n">
        <v>0.9</v>
      </c>
      <c r="K237" s="10" t="n">
        <v>0.7953014193687051</v>
      </c>
      <c r="L237" s="8" t="n">
        <v>0</v>
      </c>
      <c r="M237" s="7" t="inlineStr"/>
    </row>
    <row r="238">
      <c r="A238" s="4" t="n">
        <v>234</v>
      </c>
      <c r="B238" s="5" t="inlineStr">
        <is>
          <t>TRES MARIAS 3</t>
        </is>
      </c>
      <c r="C238" s="4" t="inlineStr">
        <is>
          <t>MG</t>
        </is>
      </c>
      <c r="D238" s="4" t="inlineStr">
        <is>
          <t>Solar</t>
        </is>
      </c>
      <c r="E238" s="7" t="inlineStr">
        <is>
          <t>— unmapped —</t>
        </is>
      </c>
      <c r="F238" s="14" t="inlineStr">
        <is>
          <t>L</t>
        </is>
      </c>
      <c r="G238" s="21" t="n">
        <v>3.4</v>
      </c>
      <c r="H238" s="10">
        <f>G238/Assumptions!$B$7</f>
        <v/>
      </c>
      <c r="I238" s="22">
        <f>G238*1000*Assumptions!$B$8/1000000</f>
        <v/>
      </c>
      <c r="J238" s="23" t="n">
        <v>11.6</v>
      </c>
      <c r="K238" s="10" t="n">
        <v>0.2264553827103424</v>
      </c>
      <c r="L238" s="8" t="n">
        <v>0</v>
      </c>
      <c r="M238" s="7" t="inlineStr"/>
    </row>
    <row r="239">
      <c r="A239" s="4" t="n">
        <v>235</v>
      </c>
      <c r="B239" s="5" t="inlineStr">
        <is>
          <t>EOLICO PINDAI II</t>
        </is>
      </c>
      <c r="C239" s="4" t="inlineStr">
        <is>
          <t>BA</t>
        </is>
      </c>
      <c r="D239" s="4" t="inlineStr">
        <is>
          <t>Wind</t>
        </is>
      </c>
      <c r="E239" s="7" t="inlineStr">
        <is>
          <t>— unmapped —</t>
        </is>
      </c>
      <c r="F239" s="14" t="inlineStr">
        <is>
          <t>L</t>
        </is>
      </c>
      <c r="G239" s="21" t="n">
        <v>3.4</v>
      </c>
      <c r="H239" s="10">
        <f>G239/Assumptions!$B$7</f>
        <v/>
      </c>
      <c r="I239" s="22">
        <f>G239*1000*Assumptions!$B$8/1000000</f>
        <v/>
      </c>
      <c r="J239" s="23" t="n">
        <v>2.7</v>
      </c>
      <c r="K239" s="10" t="n">
        <v>0.5602909756344691</v>
      </c>
      <c r="L239" s="8" t="n">
        <v>0</v>
      </c>
      <c r="M239" s="7" t="inlineStr"/>
    </row>
    <row r="240">
      <c r="A240" s="4" t="n">
        <v>236</v>
      </c>
      <c r="B240" s="5" t="inlineStr">
        <is>
          <t>LINS</t>
        </is>
      </c>
      <c r="C240" s="4" t="inlineStr">
        <is>
          <t>CE</t>
        </is>
      </c>
      <c r="D240" s="4" t="inlineStr">
        <is>
          <t>Solar</t>
        </is>
      </c>
      <c r="E240" s="7" t="inlineStr">
        <is>
          <t>— unmapped —</t>
        </is>
      </c>
      <c r="F240" s="14" t="inlineStr">
        <is>
          <t>L</t>
        </is>
      </c>
      <c r="G240" s="21" t="n">
        <v>2.8</v>
      </c>
      <c r="H240" s="10">
        <f>G240/Assumptions!$B$7</f>
        <v/>
      </c>
      <c r="I240" s="22">
        <f>G240*1000*Assumptions!$B$8/1000000</f>
        <v/>
      </c>
      <c r="J240" s="23" t="n">
        <v>6.5</v>
      </c>
      <c r="K240" s="10" t="n">
        <v>0.3028940476787498</v>
      </c>
      <c r="L240" s="8" t="n">
        <v>0</v>
      </c>
      <c r="M240" s="7" t="inlineStr"/>
    </row>
    <row r="241">
      <c r="A241" s="4" t="n">
        <v>237</v>
      </c>
      <c r="B241" s="5" t="inlineStr">
        <is>
          <t>EOLICO SERRA DO ASSURUA</t>
        </is>
      </c>
      <c r="C241" s="4" t="inlineStr">
        <is>
          <t>BA</t>
        </is>
      </c>
      <c r="D241" s="4" t="inlineStr">
        <is>
          <t>Wind</t>
        </is>
      </c>
      <c r="E241" s="7" t="inlineStr">
        <is>
          <t>— unmapped —</t>
        </is>
      </c>
      <c r="F241" s="14" t="inlineStr">
        <is>
          <t>L</t>
        </is>
      </c>
      <c r="G241" s="21" t="n">
        <v>2.6</v>
      </c>
      <c r="H241" s="10">
        <f>G241/Assumptions!$B$7</f>
        <v/>
      </c>
      <c r="I241" s="22">
        <f>G241*1000*Assumptions!$B$8/1000000</f>
        <v/>
      </c>
      <c r="J241" s="23" t="n">
        <v>6.3</v>
      </c>
      <c r="K241" s="10" t="n">
        <v>0.2973508663127348</v>
      </c>
      <c r="L241" s="8" t="n">
        <v>0</v>
      </c>
      <c r="M241" s="7" t="inlineStr"/>
    </row>
    <row r="242">
      <c r="A242" s="4" t="n">
        <v>238</v>
      </c>
      <c r="B242" s="5" t="inlineStr">
        <is>
          <t>CASTILHO</t>
        </is>
      </c>
      <c r="C242" s="4" t="inlineStr">
        <is>
          <t>SP</t>
        </is>
      </c>
      <c r="D242" s="4" t="inlineStr">
        <is>
          <t>Solar</t>
        </is>
      </c>
      <c r="E242" s="7" t="inlineStr">
        <is>
          <t>GERADORA SOLAR CASTILHO I S.A. (SPE only)</t>
        </is>
      </c>
      <c r="F242" s="14" t="inlineStr">
        <is>
          <t>L</t>
        </is>
      </c>
      <c r="G242" s="21" t="n">
        <v>2.3</v>
      </c>
      <c r="H242" s="10">
        <f>G242/Assumptions!$B$7</f>
        <v/>
      </c>
      <c r="I242" s="22">
        <f>G242*1000*Assumptions!$B$8/1000000</f>
        <v/>
      </c>
      <c r="J242" s="23" t="n">
        <v>100.2</v>
      </c>
      <c r="K242" s="10" t="n">
        <v>0.0225226932562022</v>
      </c>
      <c r="L242" s="8" t="n">
        <v>205</v>
      </c>
      <c r="M242" s="7" t="inlineStr">
        <is>
          <t>GERADORA SOLAR CASTILHO I S.A.; RENAULT DO BRASIL S.A.; NOVO ATACADO COMERCIO DE ALIMENTOS SA</t>
        </is>
      </c>
    </row>
    <row r="243">
      <c r="A243" s="4" t="n">
        <v>239</v>
      </c>
      <c r="B243" s="5" t="inlineStr">
        <is>
          <t>VARZEA DA PALMA</t>
        </is>
      </c>
      <c r="C243" s="4" t="inlineStr">
        <is>
          <t>MG</t>
        </is>
      </c>
      <c r="D243" s="4" t="inlineStr">
        <is>
          <t>Solar</t>
        </is>
      </c>
      <c r="E243" s="7" t="inlineStr">
        <is>
          <t>— unmapped —</t>
        </is>
      </c>
      <c r="F243" s="14" t="inlineStr">
        <is>
          <t>L</t>
        </is>
      </c>
      <c r="G243" s="21" t="n">
        <v>1.9</v>
      </c>
      <c r="H243" s="10">
        <f>G243/Assumptions!$B$7</f>
        <v/>
      </c>
      <c r="I243" s="22">
        <f>G243*1000*Assumptions!$B$8/1000000</f>
        <v/>
      </c>
      <c r="J243" s="23" t="n">
        <v>10.1</v>
      </c>
      <c r="K243" s="10" t="n">
        <v>0.1569503657807322</v>
      </c>
      <c r="L243" s="8" t="n">
        <v>0</v>
      </c>
      <c r="M243" s="7" t="inlineStr"/>
    </row>
    <row r="244">
      <c r="A244" s="4" t="n">
        <v>240</v>
      </c>
      <c r="B244" s="5" t="inlineStr">
        <is>
          <t>PEDRANOPOLIS</t>
        </is>
      </c>
      <c r="C244" s="4" t="inlineStr">
        <is>
          <t>SP</t>
        </is>
      </c>
      <c r="D244" s="4" t="inlineStr">
        <is>
          <t>Solar</t>
        </is>
      </c>
      <c r="E244" s="7" t="inlineStr">
        <is>
          <t>USINA DE ENERGIA FOTOVOLTAICA PEDRANOPOL (SPE only)</t>
        </is>
      </c>
      <c r="F244" s="14" t="inlineStr">
        <is>
          <t>L</t>
        </is>
      </c>
      <c r="G244" s="21" t="n">
        <v>1.8</v>
      </c>
      <c r="H244" s="10">
        <f>G244/Assumptions!$B$7</f>
        <v/>
      </c>
      <c r="I244" s="22">
        <f>G244*1000*Assumptions!$B$8/1000000</f>
        <v/>
      </c>
      <c r="J244" s="23" t="n">
        <v>42.8</v>
      </c>
      <c r="K244" s="10" t="n">
        <v>0.04115980624140759</v>
      </c>
      <c r="L244" s="8" t="n">
        <v>90</v>
      </c>
      <c r="M244" s="7" t="inlineStr">
        <is>
          <t>USINA DE ENERGIA FOTOVOLTAICA PEDRANOPOLIS S.A.</t>
        </is>
      </c>
    </row>
    <row r="245">
      <c r="A245" s="4" t="n">
        <v>241</v>
      </c>
      <c r="B245" s="5" t="inlineStr">
        <is>
          <t>GUAIMBE</t>
        </is>
      </c>
      <c r="C245" s="4" t="inlineStr">
        <is>
          <t>SP</t>
        </is>
      </c>
      <c r="D245" s="4" t="inlineStr">
        <is>
          <t>Solar</t>
        </is>
      </c>
      <c r="E245" s="7" t="inlineStr">
        <is>
          <t>GUAIMBE I PARQUE SOLAR LTDA. (SPE only)</t>
        </is>
      </c>
      <c r="F245" s="14" t="inlineStr">
        <is>
          <t>L</t>
        </is>
      </c>
      <c r="G245" s="21" t="n">
        <v>1.8</v>
      </c>
      <c r="H245" s="10">
        <f>G245/Assumptions!$B$7</f>
        <v/>
      </c>
      <c r="I245" s="22">
        <f>G245*1000*Assumptions!$B$8/1000000</f>
        <v/>
      </c>
      <c r="J245" s="23" t="n">
        <v>46.6</v>
      </c>
      <c r="K245" s="10" t="n">
        <v>0.03654781103855404</v>
      </c>
      <c r="L245" s="8" t="n">
        <v>150</v>
      </c>
      <c r="M245" s="7" t="inlineStr">
        <is>
          <t>GUAIMBE I PARQUE SOLAR LTDA.; GUAIMBE II PARQUE SOLAR LTDA.; GUAIMBE III PARQUE SOLAR LTDA.</t>
        </is>
      </c>
    </row>
    <row r="246">
      <c r="A246" s="4" t="n">
        <v>242</v>
      </c>
      <c r="B246" s="5" t="inlineStr">
        <is>
          <t>SERRITA</t>
        </is>
      </c>
      <c r="C246" s="4" t="inlineStr">
        <is>
          <t>PE</t>
        </is>
      </c>
      <c r="D246" s="4" t="inlineStr">
        <is>
          <t>Solar</t>
        </is>
      </c>
      <c r="E246" s="7" t="inlineStr">
        <is>
          <t>ESTADO DE PERNAMBUCO (SPE only)</t>
        </is>
      </c>
      <c r="F246" s="14" t="inlineStr">
        <is>
          <t>L</t>
        </is>
      </c>
      <c r="G246" s="21" t="n">
        <v>1.1</v>
      </c>
      <c r="H246" s="10">
        <f>G246/Assumptions!$B$7</f>
        <v/>
      </c>
      <c r="I246" s="22">
        <f>G246*1000*Assumptions!$B$8/1000000</f>
        <v/>
      </c>
      <c r="J246" s="23" t="n">
        <v>0.7</v>
      </c>
      <c r="K246" s="10" t="n">
        <v>0.6050586112055447</v>
      </c>
      <c r="L246" s="8" t="n">
        <v>60</v>
      </c>
      <c r="M246" s="7" t="inlineStr">
        <is>
          <t>ESTADO DE PERNAMBUCO</t>
        </is>
      </c>
    </row>
    <row r="247">
      <c r="A247" s="4" t="n">
        <v>243</v>
      </c>
      <c r="B247" s="5" t="inlineStr">
        <is>
          <t>CATAVENTOS ACARAU I</t>
        </is>
      </c>
      <c r="C247" s="4" t="inlineStr">
        <is>
          <t>CE</t>
        </is>
      </c>
      <c r="D247" s="4" t="inlineStr">
        <is>
          <t>Wind</t>
        </is>
      </c>
      <c r="E247" s="7" t="inlineStr">
        <is>
          <t>— unmapped —</t>
        </is>
      </c>
      <c r="F247" s="14" t="inlineStr">
        <is>
          <t>L</t>
        </is>
      </c>
      <c r="G247" s="21" t="n">
        <v>0.9</v>
      </c>
      <c r="H247" s="10">
        <f>G247/Assumptions!$B$7</f>
        <v/>
      </c>
      <c r="I247" s="22">
        <f>G247*1000*Assumptions!$B$8/1000000</f>
        <v/>
      </c>
      <c r="J247" s="23" t="n">
        <v>0.9</v>
      </c>
      <c r="K247" s="10" t="n">
        <v>0.4884486489665593</v>
      </c>
      <c r="L247" s="8" t="n">
        <v>0</v>
      </c>
      <c r="M247" s="7" t="inlineStr"/>
    </row>
    <row r="248">
      <c r="A248" s="4" t="n">
        <v>244</v>
      </c>
      <c r="B248" s="5" t="inlineStr">
        <is>
          <t>TACARATU (EOLICO)</t>
        </is>
      </c>
      <c r="C248" s="4" t="inlineStr">
        <is>
          <t>PE</t>
        </is>
      </c>
      <c r="D248" s="4" t="inlineStr">
        <is>
          <t>Wind</t>
        </is>
      </c>
      <c r="E248" s="7" t="inlineStr">
        <is>
          <t>— unmapped —</t>
        </is>
      </c>
      <c r="F248" s="14" t="inlineStr">
        <is>
          <t>L</t>
        </is>
      </c>
      <c r="G248" s="21" t="n">
        <v>0.8</v>
      </c>
      <c r="H248" s="10">
        <f>G248/Assumptions!$B$7</f>
        <v/>
      </c>
      <c r="I248" s="22">
        <f>G248*1000*Assumptions!$B$8/1000000</f>
        <v/>
      </c>
      <c r="J248" s="23" t="n">
        <v>0.8</v>
      </c>
      <c r="K248" s="10" t="n">
        <v>0.5018618724192222</v>
      </c>
      <c r="L248" s="8" t="n">
        <v>0</v>
      </c>
      <c r="M248" s="7" t="inlineStr"/>
    </row>
    <row r="249">
      <c r="A249" s="4" t="n">
        <v>245</v>
      </c>
      <c r="B249" s="5" t="inlineStr">
        <is>
          <t>DRACENA</t>
        </is>
      </c>
      <c r="C249" s="4" t="inlineStr">
        <is>
          <t>SP</t>
        </is>
      </c>
      <c r="D249" s="4" t="inlineStr">
        <is>
          <t>Solar</t>
        </is>
      </c>
      <c r="E249" s="7" t="inlineStr">
        <is>
          <t>DRACENA I PARQUE SOLAR S.A. (SPE only)</t>
        </is>
      </c>
      <c r="F249" s="14" t="inlineStr">
        <is>
          <t>L</t>
        </is>
      </c>
      <c r="G249" s="21" t="n">
        <v>0.5</v>
      </c>
      <c r="H249" s="10">
        <f>G249/Assumptions!$B$7</f>
        <v/>
      </c>
      <c r="I249" s="22">
        <f>G249*1000*Assumptions!$B$8/1000000</f>
        <v/>
      </c>
      <c r="J249" s="23" t="n">
        <v>25.2</v>
      </c>
      <c r="K249" s="10" t="n">
        <v>0.02128381419835786</v>
      </c>
      <c r="L249" s="8" t="n">
        <v>81</v>
      </c>
      <c r="M249" s="7" t="inlineStr">
        <is>
          <t>DRACENA I PARQUE SOLAR S.A.; DRACENA II PARQUE SOLAR S.A.; DRACENA IV PARQUE SOLAR S.A.</t>
        </is>
      </c>
    </row>
    <row r="250">
      <c r="A250" s="4" t="n">
        <v>246</v>
      </c>
      <c r="B250" s="5" t="inlineStr">
        <is>
          <t>CATAVENTOS DO ACARAU I</t>
        </is>
      </c>
      <c r="C250" s="4" t="inlineStr">
        <is>
          <t>CE</t>
        </is>
      </c>
      <c r="D250" s="4" t="inlineStr">
        <is>
          <t>Wind</t>
        </is>
      </c>
      <c r="E250" s="7" t="inlineStr">
        <is>
          <t>— unmapped —</t>
        </is>
      </c>
      <c r="F250" s="14" t="inlineStr">
        <is>
          <t>L</t>
        </is>
      </c>
      <c r="G250" s="21" t="n">
        <v>0.2</v>
      </c>
      <c r="H250" s="10">
        <f>G250/Assumptions!$B$7</f>
        <v/>
      </c>
      <c r="I250" s="22">
        <f>G250*1000*Assumptions!$B$8/1000000</f>
        <v/>
      </c>
      <c r="J250" s="23" t="n">
        <v>0.8</v>
      </c>
      <c r="K250" s="10" t="n">
        <v>0.2384412916667276</v>
      </c>
      <c r="L250" s="8" t="n">
        <v>0</v>
      </c>
      <c r="M250" s="7" t="inlineStr"/>
    </row>
    <row r="251">
      <c r="A251" s="4" t="n">
        <v>247</v>
      </c>
      <c r="B251" s="5" t="inlineStr">
        <is>
          <t>SANTA VITORIA DO PALMAR</t>
        </is>
      </c>
      <c r="C251" s="4" t="inlineStr">
        <is>
          <t>RS</t>
        </is>
      </c>
      <c r="D251" s="4" t="inlineStr">
        <is>
          <t>Wind</t>
        </is>
      </c>
      <c r="E251" s="7" t="inlineStr">
        <is>
          <t>SERENA CHUI I ENERGIA SA (SPE only)</t>
        </is>
      </c>
      <c r="F251" s="14" t="inlineStr">
        <is>
          <t>L</t>
        </is>
      </c>
      <c r="G251" s="21" t="n">
        <v>0.2</v>
      </c>
      <c r="H251" s="10">
        <f>G251/Assumptions!$B$7</f>
        <v/>
      </c>
      <c r="I251" s="22">
        <f>G251*1000*Assumptions!$B$8/1000000</f>
        <v/>
      </c>
      <c r="J251" s="23" t="n">
        <v>111.3</v>
      </c>
      <c r="K251" s="10" t="n">
        <v>0.001781027359809461</v>
      </c>
      <c r="L251" s="8" t="n">
        <v>583</v>
      </c>
      <c r="M251" s="7" t="inlineStr">
        <is>
          <t>SERENA CHUI I ENERGIA SA</t>
        </is>
      </c>
    </row>
    <row r="252">
      <c r="A252" s="4" t="n">
        <v>248</v>
      </c>
      <c r="B252" s="5" t="inlineStr">
        <is>
          <t>FLOR DE MANDACARU</t>
        </is>
      </c>
      <c r="C252" s="4" t="inlineStr">
        <is>
          <t>CE</t>
        </is>
      </c>
      <c r="D252" s="4" t="inlineStr">
        <is>
          <t>Solar</t>
        </is>
      </c>
      <c r="E252" s="7" t="inlineStr">
        <is>
          <t>— unmapped —</t>
        </is>
      </c>
      <c r="F252" s="14" t="inlineStr">
        <is>
          <t>L</t>
        </is>
      </c>
      <c r="G252" s="21" t="n">
        <v>0.1</v>
      </c>
      <c r="H252" s="10">
        <f>G252/Assumptions!$B$7</f>
        <v/>
      </c>
      <c r="I252" s="22">
        <f>G252*1000*Assumptions!$B$8/1000000</f>
        <v/>
      </c>
      <c r="J252" s="23" t="n">
        <v>0.3</v>
      </c>
      <c r="K252" s="10" t="n">
        <v>0.3320807766775042</v>
      </c>
      <c r="L252" s="8" t="n">
        <v>0</v>
      </c>
      <c r="M252" s="7" t="inlineStr"/>
    </row>
    <row r="253">
      <c r="A253" s="4" t="n">
        <v>249</v>
      </c>
      <c r="B253" s="5" t="inlineStr">
        <is>
          <t>TACARATU (SOLAR)</t>
        </is>
      </c>
      <c r="C253" s="4" t="inlineStr">
        <is>
          <t>PE</t>
        </is>
      </c>
      <c r="D253" s="4" t="inlineStr">
        <is>
          <t>Solar</t>
        </is>
      </c>
      <c r="E253" s="7" t="inlineStr">
        <is>
          <t>— unmapped —</t>
        </is>
      </c>
      <c r="F253" s="14" t="inlineStr">
        <is>
          <t>L</t>
        </is>
      </c>
      <c r="G253" s="21" t="n">
        <v>0.1</v>
      </c>
      <c r="H253" s="10">
        <f>G253/Assumptions!$B$7</f>
        <v/>
      </c>
      <c r="I253" s="22">
        <f>G253*1000*Assumptions!$B$8/1000000</f>
        <v/>
      </c>
      <c r="J253" s="23" t="n">
        <v>0.7</v>
      </c>
      <c r="K253" s="10" t="n">
        <v>0.1238018541923049</v>
      </c>
      <c r="L253" s="8" t="n">
        <v>0</v>
      </c>
      <c r="M253" s="7" t="inlineStr"/>
    </row>
    <row r="254">
      <c r="A254" s="4" t="n">
        <v>250</v>
      </c>
      <c r="B254" s="5" t="inlineStr">
        <is>
          <t>CERRO CHATO</t>
        </is>
      </c>
      <c r="C254" s="4" t="inlineStr">
        <is>
          <t>RS</t>
        </is>
      </c>
      <c r="D254" s="4" t="inlineStr">
        <is>
          <t>Wind</t>
        </is>
      </c>
      <c r="E254" s="7" t="inlineStr">
        <is>
          <t>AXIA ENERGIA SUL S.A. (SPE only)</t>
        </is>
      </c>
      <c r="F254" s="14" t="inlineStr">
        <is>
          <t>L</t>
        </is>
      </c>
      <c r="G254" s="21" t="n">
        <v>0</v>
      </c>
      <c r="H254" s="10">
        <f>G254/Assumptions!$B$7</f>
        <v/>
      </c>
      <c r="I254" s="22">
        <f>G254*1000*Assumptions!$B$8/1000000</f>
        <v/>
      </c>
      <c r="J254" s="23" t="n">
        <v>20.8</v>
      </c>
      <c r="K254" s="10" t="n">
        <v>0.001482902305240566</v>
      </c>
      <c r="L254" s="8" t="n">
        <v>163</v>
      </c>
      <c r="M254" s="7" t="inlineStr">
        <is>
          <t>AXIA ENERGIA SUL S.A.; EOLICA IBIRAPUITA S.A.</t>
        </is>
      </c>
    </row>
    <row r="255">
      <c r="A255" s="4" t="n">
        <v>251</v>
      </c>
      <c r="B255" s="5" t="inlineStr">
        <is>
          <t>LIVRAMENTO 3</t>
        </is>
      </c>
      <c r="C255" s="4" t="inlineStr">
        <is>
          <t>RS</t>
        </is>
      </c>
      <c r="D255" s="4" t="inlineStr">
        <is>
          <t>Wind</t>
        </is>
      </c>
      <c r="E255" s="7" t="inlineStr">
        <is>
          <t>AXIA ENERGIA SUL S.A. (SPE only)</t>
        </is>
      </c>
      <c r="F255" s="14" t="inlineStr">
        <is>
          <t>L</t>
        </is>
      </c>
      <c r="G255" s="21" t="n">
        <v>0</v>
      </c>
      <c r="H255" s="10">
        <f>G255/Assumptions!$B$7</f>
        <v/>
      </c>
      <c r="I255" s="22">
        <f>G255*1000*Assumptions!$B$8/1000000</f>
        <v/>
      </c>
      <c r="J255" s="23" t="n">
        <v>26.2</v>
      </c>
      <c r="K255" s="10" t="n">
        <v>0.0009244002143680305</v>
      </c>
      <c r="L255" s="8" t="n">
        <v>269</v>
      </c>
      <c r="M255" s="7" t="inlineStr">
        <is>
          <t>AXIA ENERGIA SUL S.A.</t>
        </is>
      </c>
    </row>
    <row r="256">
      <c r="A256" s="4" t="n">
        <v>252</v>
      </c>
      <c r="B256" s="5" t="inlineStr">
        <is>
          <t>LAGOA DOS BARROS</t>
        </is>
      </c>
      <c r="C256" s="4" t="inlineStr">
        <is>
          <t>RS</t>
        </is>
      </c>
      <c r="D256" s="4" t="inlineStr">
        <is>
          <t>Wind</t>
        </is>
      </c>
      <c r="E256" s="7" t="inlineStr">
        <is>
          <t>VENTOS DO SUL ENERGIA S/A (SPE only)</t>
        </is>
      </c>
      <c r="F256" s="14" t="inlineStr">
        <is>
          <t>L</t>
        </is>
      </c>
      <c r="G256" s="21" t="n">
        <v>0</v>
      </c>
      <c r="H256" s="10">
        <f>G256/Assumptions!$B$7</f>
        <v/>
      </c>
      <c r="I256" s="22">
        <f>G256*1000*Assumptions!$B$8/1000000</f>
        <v/>
      </c>
      <c r="J256" s="23" t="n">
        <v>47.7</v>
      </c>
      <c r="K256" s="10" t="n">
        <v>0.0002455723239781308</v>
      </c>
      <c r="L256" s="8" t="n">
        <v>318</v>
      </c>
      <c r="M256" s="7" t="inlineStr">
        <is>
          <t>VENTOS DO SUL ENERGIA S/A; VENTOS DO LITORAL ENERGIA S.A.; VENTOS DA LAGOA ENERGIA S.A</t>
        </is>
      </c>
    </row>
    <row r="257">
      <c r="A257" s="4" t="n">
        <v>253</v>
      </c>
      <c r="B257" s="5" t="inlineStr">
        <is>
          <t>MARMELEIRO 2</t>
        </is>
      </c>
      <c r="C257" s="4" t="inlineStr">
        <is>
          <t>RS</t>
        </is>
      </c>
      <c r="D257" s="4" t="inlineStr">
        <is>
          <t>Wind</t>
        </is>
      </c>
      <c r="E257" s="7" t="inlineStr">
        <is>
          <t>SANTA VITORIA DO PALMAR V ENERGIAS RENOV (SPE only)</t>
        </is>
      </c>
      <c r="F257" s="14" t="inlineStr">
        <is>
          <t>L</t>
        </is>
      </c>
      <c r="G257" s="21" t="n">
        <v>0</v>
      </c>
      <c r="H257" s="10">
        <f>G257/Assumptions!$B$7</f>
        <v/>
      </c>
      <c r="I257" s="22">
        <f>G257*1000*Assumptions!$B$8/1000000</f>
        <v/>
      </c>
      <c r="J257" s="23" t="n">
        <v>46.9</v>
      </c>
      <c r="K257" s="10" t="n">
        <v>0.0002300098219661523</v>
      </c>
      <c r="L257" s="8" t="n">
        <v>207</v>
      </c>
      <c r="M257" s="7" t="inlineStr">
        <is>
          <t>SANTA VITORIA DO PALMAR V ENERGIAS RENOVAVEIS S.A.; SANTA VITORIA DO PALMAR VI ENERGIAS RENOVAVEIS S.A.; SANTA VITORIA DO PALMAR IV ENERGIAS RENOVAVEIS S.A.</t>
        </is>
      </c>
    </row>
    <row r="258">
      <c r="A258" s="4" t="n">
        <v>254</v>
      </c>
      <c r="B258" s="5" t="inlineStr">
        <is>
          <t>QUINTA 69 KV</t>
        </is>
      </c>
      <c r="C258" s="4" t="inlineStr">
        <is>
          <t>RS</t>
        </is>
      </c>
      <c r="D258" s="4" t="inlineStr">
        <is>
          <t>Wind</t>
        </is>
      </c>
      <c r="E258" s="7" t="inlineStr">
        <is>
          <t>EOL BRISA ENERGIAS RENOVAVEIS S.A. (SPE only)</t>
        </is>
      </c>
      <c r="F258" s="14" t="inlineStr">
        <is>
          <t>L</t>
        </is>
      </c>
      <c r="G258" s="21" t="n">
        <v>0</v>
      </c>
      <c r="H258" s="10">
        <f>G258/Assumptions!$B$7</f>
        <v/>
      </c>
      <c r="I258" s="22">
        <f>G258*1000*Assumptions!$B$8/1000000</f>
        <v/>
      </c>
      <c r="J258" s="23" t="n">
        <v>14</v>
      </c>
      <c r="K258" s="10" t="n">
        <v>0.0007556156752176189</v>
      </c>
      <c r="L258" s="8" t="n">
        <v>64</v>
      </c>
      <c r="M258" s="7" t="inlineStr">
        <is>
          <t>EOL BRISA ENERGIAS RENOVAVEIS S.A.; EOL VENTO ENERGIAS RENOVAVEIS S.A.; EOL WIND ENERGIAS RENOVAVEIS S.A.</t>
        </is>
      </c>
    </row>
    <row r="259">
      <c r="A259" s="4" t="n">
        <v>255</v>
      </c>
      <c r="B259" s="5" t="inlineStr">
        <is>
          <t>VIAMAO 3</t>
        </is>
      </c>
      <c r="C259" s="4" t="inlineStr">
        <is>
          <t>RS</t>
        </is>
      </c>
      <c r="D259" s="4" t="inlineStr">
        <is>
          <t>Wind</t>
        </is>
      </c>
      <c r="E259" s="7" t="inlineStr">
        <is>
          <t>FORCA DOS VENTOS ENERGIA EOLICA S.A (SPE only)</t>
        </is>
      </c>
      <c r="F259" s="14" t="inlineStr">
        <is>
          <t>L</t>
        </is>
      </c>
      <c r="G259" s="21" t="n">
        <v>0</v>
      </c>
      <c r="H259" s="10">
        <f>G259/Assumptions!$B$7</f>
        <v/>
      </c>
      <c r="I259" s="22">
        <f>G259*1000*Assumptions!$B$8/1000000</f>
        <v/>
      </c>
      <c r="J259" s="23" t="n">
        <v>10.8</v>
      </c>
      <c r="K259" s="10" t="n">
        <v>0.0008609265314537071</v>
      </c>
      <c r="L259" s="8" t="n">
        <v>60</v>
      </c>
      <c r="M259" s="7" t="inlineStr">
        <is>
          <t>FORCA DOS VENTOS ENERGIA EOLICA S.A; EOLICA PONTAL 3B S.A.; EOLICA PONTAL 2A S.A.</t>
        </is>
      </c>
    </row>
    <row r="260">
      <c r="A260" s="4" t="n">
        <v>256</v>
      </c>
      <c r="B260" s="5" t="inlineStr">
        <is>
          <t>ELEBRAS CIDREIRA 1</t>
        </is>
      </c>
      <c r="C260" s="4" t="inlineStr">
        <is>
          <t>RS</t>
        </is>
      </c>
      <c r="D260" s="4" t="inlineStr">
        <is>
          <t>Wind</t>
        </is>
      </c>
      <c r="E260" s="7" t="inlineStr">
        <is>
          <t>— unmapped —</t>
        </is>
      </c>
      <c r="F260" s="14" t="inlineStr">
        <is>
          <t>L</t>
        </is>
      </c>
      <c r="G260" s="21" t="n">
        <v>0</v>
      </c>
      <c r="H260" s="10">
        <f>G260/Assumptions!$B$7</f>
        <v/>
      </c>
      <c r="I260" s="22">
        <f>G260*1000*Assumptions!$B$8/1000000</f>
        <v/>
      </c>
      <c r="J260" s="23" t="n">
        <v>7.6</v>
      </c>
      <c r="K260" s="10" t="n">
        <v>0.0008015914612900644</v>
      </c>
      <c r="L260" s="8" t="n">
        <v>0</v>
      </c>
      <c r="M260" s="7" t="inlineStr"/>
    </row>
    <row r="261">
      <c r="A261" s="4" t="n">
        <v>257</v>
      </c>
      <c r="B261" s="5" t="inlineStr">
        <is>
          <t>QUINTA</t>
        </is>
      </c>
      <c r="C261" s="4" t="inlineStr">
        <is>
          <t>RS</t>
        </is>
      </c>
      <c r="D261" s="4" t="inlineStr">
        <is>
          <t>Wind</t>
        </is>
      </c>
      <c r="E261" s="7" t="inlineStr">
        <is>
          <t>— unmapped —</t>
        </is>
      </c>
      <c r="F261" s="14" t="inlineStr">
        <is>
          <t>L</t>
        </is>
      </c>
      <c r="G261" s="21" t="n">
        <v>0</v>
      </c>
      <c r="H261" s="10">
        <f>G261/Assumptions!$B$7</f>
        <v/>
      </c>
      <c r="I261" s="22">
        <f>G261*1000*Assumptions!$B$8/1000000</f>
        <v/>
      </c>
      <c r="J261" s="23" t="n">
        <v>23.6</v>
      </c>
      <c r="K261" s="10" t="n">
        <v>0.0002454088761102816</v>
      </c>
      <c r="L261" s="8" t="n">
        <v>0</v>
      </c>
      <c r="M261" s="7" t="inlineStr"/>
    </row>
    <row r="262">
      <c r="A262" s="4" t="n">
        <v>258</v>
      </c>
      <c r="B262" s="5" t="inlineStr">
        <is>
          <t>XANGRI-LA</t>
        </is>
      </c>
      <c r="C262" s="4" t="inlineStr">
        <is>
          <t>RS</t>
        </is>
      </c>
      <c r="D262" s="4" t="inlineStr">
        <is>
          <t>Wind</t>
        </is>
      </c>
      <c r="E262" s="7" t="inlineStr">
        <is>
          <t>— unmapped —</t>
        </is>
      </c>
      <c r="F262" s="14" t="inlineStr">
        <is>
          <t>L</t>
        </is>
      </c>
      <c r="G262" s="21" t="n">
        <v>0</v>
      </c>
      <c r="H262" s="10">
        <f>G262/Assumptions!$B$7</f>
        <v/>
      </c>
      <c r="I262" s="22">
        <f>G262*1000*Assumptions!$B$8/1000000</f>
        <v/>
      </c>
      <c r="J262" s="23" t="n">
        <v>7.1</v>
      </c>
      <c r="K262" s="10" t="n">
        <v>0.0007758293063127807</v>
      </c>
      <c r="L262" s="8" t="n">
        <v>0</v>
      </c>
      <c r="M262" s="7" t="inlineStr"/>
    </row>
    <row r="263">
      <c r="A263" s="4" t="n">
        <v>259</v>
      </c>
      <c r="B263" s="5" t="inlineStr">
        <is>
          <t>BOM JARDIM</t>
        </is>
      </c>
      <c r="C263" s="4" t="inlineStr">
        <is>
          <t>SC</t>
        </is>
      </c>
      <c r="D263" s="4" t="inlineStr">
        <is>
          <t>Wind</t>
        </is>
      </c>
      <c r="E263" s="7" t="inlineStr">
        <is>
          <t>PULPITO ENERGIA EOLICA S.A. (SPE only)</t>
        </is>
      </c>
      <c r="F263" s="14" t="inlineStr">
        <is>
          <t>L</t>
        </is>
      </c>
      <c r="G263" s="21" t="n">
        <v>0</v>
      </c>
      <c r="H263" s="10">
        <f>G263/Assumptions!$B$7</f>
        <v/>
      </c>
      <c r="I263" s="22">
        <f>G263*1000*Assumptions!$B$8/1000000</f>
        <v/>
      </c>
      <c r="J263" s="23" t="n">
        <v>15.7</v>
      </c>
      <c r="K263" s="10" t="n">
        <v>0.0003499442601946123</v>
      </c>
      <c r="L263" s="8" t="n">
        <v>93</v>
      </c>
      <c r="M263" s="7" t="inlineStr">
        <is>
          <t>PULPITO ENERGIA EOLICA S.A.; SANTO ANTONIO ENERGIA EOLICA S.A.; RIO DE OURO ENERGIA EOLICA S.A.</t>
        </is>
      </c>
    </row>
    <row r="264">
      <c r="A264" s="4" t="n">
        <v>260</v>
      </c>
      <c r="B264" s="5" t="inlineStr">
        <is>
          <t>ATLANTICA</t>
        </is>
      </c>
      <c r="C264" s="4" t="inlineStr">
        <is>
          <t>RS</t>
        </is>
      </c>
      <c r="D264" s="4" t="inlineStr">
        <is>
          <t>Wind</t>
        </is>
      </c>
      <c r="E264" s="7" t="inlineStr">
        <is>
          <t>ATLANTICA I PARQUE EOLICO LTDA. (SPE only)</t>
        </is>
      </c>
      <c r="F264" s="14" t="inlineStr">
        <is>
          <t>L</t>
        </is>
      </c>
      <c r="G264" s="21" t="n">
        <v>0</v>
      </c>
      <c r="H264" s="10">
        <f>G264/Assumptions!$B$7</f>
        <v/>
      </c>
      <c r="I264" s="22">
        <f>G264*1000*Assumptions!$B$8/1000000</f>
        <v/>
      </c>
      <c r="J264" s="23" t="n">
        <v>31.4</v>
      </c>
      <c r="K264" s="10" t="n">
        <v>0.0001307850266651631</v>
      </c>
      <c r="L264" s="8" t="n">
        <v>120</v>
      </c>
      <c r="M264" s="7" t="inlineStr">
        <is>
          <t>ATLANTICA I PARQUE EOLICO LTDA.; ATLANTICA IV PARQUE EOLICO LTDA.; ATLANTICA II PARQUE EOLICO LTDA.</t>
        </is>
      </c>
    </row>
    <row r="265">
      <c r="A265" s="4" t="n">
        <v>261</v>
      </c>
      <c r="B265" s="5" t="inlineStr">
        <is>
          <t>AGUA DOCE</t>
        </is>
      </c>
      <c r="C265" s="4" t="inlineStr">
        <is>
          <t>SC</t>
        </is>
      </c>
      <c r="D265" s="4" t="inlineStr">
        <is>
          <t>Wind</t>
        </is>
      </c>
      <c r="E265" s="7" t="inlineStr">
        <is>
          <t>AQUIBATÃ ENERGIA EÓLICA S.A. (SPE only)</t>
        </is>
      </c>
      <c r="F265" s="14" t="inlineStr">
        <is>
          <t>L</t>
        </is>
      </c>
      <c r="G265" s="21" t="n">
        <v>0</v>
      </c>
      <c r="H265" s="10">
        <f>G265/Assumptions!$B$7</f>
        <v/>
      </c>
      <c r="I265" s="22">
        <f>G265*1000*Assumptions!$B$8/1000000</f>
        <v/>
      </c>
      <c r="J265" s="23" t="n">
        <v>24.6</v>
      </c>
      <c r="K265" s="10" t="n">
        <v>0.0001421454369413913</v>
      </c>
      <c r="L265" s="8" t="n">
        <v>129</v>
      </c>
      <c r="M265" s="7" t="inlineStr">
        <is>
          <t>AQUIBATÃ ENERGIA EÓLICA S.A.; CASCATA ENERGIA EOLICA S.A.; SALTO ENERGIA EOLICA S.A.</t>
        </is>
      </c>
    </row>
    <row r="266">
      <c r="A266" s="4" t="n">
        <v>262</v>
      </c>
      <c r="B266" s="5" t="inlineStr">
        <is>
          <t>EOLICA CATAVENTOS DO ACARAU I</t>
        </is>
      </c>
      <c r="C266" s="4" t="inlineStr">
        <is>
          <t>CE</t>
        </is>
      </c>
      <c r="D266" s="4" t="inlineStr">
        <is>
          <t>Wind</t>
        </is>
      </c>
      <c r="E266" s="7" t="inlineStr">
        <is>
          <t>— unmapped —</t>
        </is>
      </c>
      <c r="F266" s="14" t="inlineStr">
        <is>
          <t>L</t>
        </is>
      </c>
      <c r="G266" s="21" t="n">
        <v>0</v>
      </c>
      <c r="H266" s="10">
        <f>G266/Assumptions!$B$7</f>
        <v/>
      </c>
      <c r="I266" s="22">
        <f>G266*1000*Assumptions!$B$8/1000000</f>
        <v/>
      </c>
      <c r="J266" s="23" t="n">
        <v>0.4</v>
      </c>
      <c r="K266" s="10" t="n">
        <v>0.005136770062374181</v>
      </c>
      <c r="L266" s="8" t="n">
        <v>0</v>
      </c>
      <c r="M266" s="7" t="inlineStr"/>
    </row>
    <row r="267">
      <c r="A267" s="4" t="n">
        <v>263</v>
      </c>
      <c r="B267" s="5" t="inlineStr">
        <is>
          <t>EOLICO CAMPO LARGO</t>
        </is>
      </c>
      <c r="C267" s="4" t="inlineStr">
        <is>
          <t>BA</t>
        </is>
      </c>
      <c r="D267" s="4" t="inlineStr">
        <is>
          <t>Wind</t>
        </is>
      </c>
      <c r="E267" s="7" t="inlineStr">
        <is>
          <t>— unmapped —</t>
        </is>
      </c>
      <c r="F267" s="14" t="inlineStr">
        <is>
          <t>L</t>
        </is>
      </c>
      <c r="G267" s="21" t="n">
        <v>0</v>
      </c>
      <c r="H267" s="10">
        <f>G267/Assumptions!$B$7</f>
        <v/>
      </c>
      <c r="I267" s="22">
        <f>G267*1000*Assumptions!$B$8/1000000</f>
        <v/>
      </c>
      <c r="J267" s="23" t="n">
        <v>2.5</v>
      </c>
      <c r="K267" s="10" t="n">
        <v>0</v>
      </c>
      <c r="L267" s="8" t="n">
        <v>0</v>
      </c>
      <c r="M267" s="7" t="inlineStr"/>
    </row>
    <row r="268">
      <c r="A268" s="4" t="n">
        <v>264</v>
      </c>
      <c r="B268" s="5" t="inlineStr">
        <is>
          <t>EOLICO LIVRAMENTO 3</t>
        </is>
      </c>
      <c r="C268" s="4" t="inlineStr">
        <is>
          <t>RS</t>
        </is>
      </c>
      <c r="D268" s="4" t="inlineStr">
        <is>
          <t>Wind</t>
        </is>
      </c>
      <c r="E268" s="7" t="inlineStr">
        <is>
          <t>— unmapped —</t>
        </is>
      </c>
      <c r="F268" s="14" t="inlineStr">
        <is>
          <t>L</t>
        </is>
      </c>
      <c r="G268" s="21" t="n">
        <v>0</v>
      </c>
      <c r="H268" s="10">
        <f>G268/Assumptions!$B$7</f>
        <v/>
      </c>
      <c r="I268" s="22">
        <f>G268*1000*Assumptions!$B$8/1000000</f>
        <v/>
      </c>
      <c r="J268" s="23" t="n">
        <v>0.8</v>
      </c>
      <c r="K268" s="10" t="n">
        <v>0</v>
      </c>
      <c r="L268" s="8" t="n">
        <v>0</v>
      </c>
      <c r="M268" s="7" t="inlineStr"/>
    </row>
    <row r="269">
      <c r="A269" s="4" t="n">
        <v>265</v>
      </c>
      <c r="B269" s="5" t="inlineStr">
        <is>
          <t>CONJUNTO EOLICO BABILONIA CENTRO</t>
        </is>
      </c>
      <c r="C269" s="4" t="inlineStr">
        <is>
          <t>BA</t>
        </is>
      </c>
      <c r="D269" s="4" t="inlineStr">
        <is>
          <t>Wind</t>
        </is>
      </c>
      <c r="E269" s="7" t="inlineStr">
        <is>
          <t>— unmapped —</t>
        </is>
      </c>
      <c r="F269" s="14" t="inlineStr">
        <is>
          <t>L</t>
        </is>
      </c>
      <c r="G269" s="21" t="n">
        <v>0</v>
      </c>
      <c r="H269" s="10">
        <f>G269/Assumptions!$B$7</f>
        <v/>
      </c>
      <c r="I269" s="22">
        <f>G269*1000*Assumptions!$B$8/1000000</f>
        <v/>
      </c>
      <c r="J269" s="23" t="n">
        <v>0</v>
      </c>
      <c r="K269" s="10" t="n">
        <v>0</v>
      </c>
      <c r="L269" s="8" t="n">
        <v>0</v>
      </c>
      <c r="M269" s="7" t="inlineStr"/>
    </row>
    <row r="270">
      <c r="A270" s="4" t="n">
        <v>266</v>
      </c>
      <c r="B270" s="5" t="inlineStr">
        <is>
          <t>CONJUNTO EOLICO KAIROS</t>
        </is>
      </c>
      <c r="C270" s="4" t="inlineStr">
        <is>
          <t>CE</t>
        </is>
      </c>
      <c r="D270" s="4" t="inlineStr">
        <is>
          <t>Wind</t>
        </is>
      </c>
      <c r="E270" s="7" t="inlineStr">
        <is>
          <t>— unmapped —</t>
        </is>
      </c>
      <c r="F270" s="14" t="inlineStr">
        <is>
          <t>L</t>
        </is>
      </c>
      <c r="G270" s="21" t="n">
        <v>0</v>
      </c>
      <c r="H270" s="10">
        <f>G270/Assumptions!$B$7</f>
        <v/>
      </c>
      <c r="I270" s="22">
        <f>G270*1000*Assumptions!$B$8/1000000</f>
        <v/>
      </c>
      <c r="J270" s="23" t="n">
        <v>0</v>
      </c>
      <c r="K270" s="10" t="n">
        <v>0</v>
      </c>
      <c r="L270" s="8" t="n">
        <v>0</v>
      </c>
      <c r="M270" s="7" t="inlineStr"/>
    </row>
    <row r="271">
      <c r="A271" s="4" t="n">
        <v>267</v>
      </c>
      <c r="B271" s="5" t="inlineStr">
        <is>
          <t>PARACATU 4</t>
        </is>
      </c>
      <c r="C271" s="4" t="inlineStr">
        <is>
          <t>MG</t>
        </is>
      </c>
      <c r="D271" s="4" t="inlineStr">
        <is>
          <t>Solar</t>
        </is>
      </c>
      <c r="E271" s="7" t="inlineStr">
        <is>
          <t>— unmapped —</t>
        </is>
      </c>
      <c r="F271" s="14" t="inlineStr">
        <is>
          <t>L</t>
        </is>
      </c>
      <c r="G271" s="21" t="n">
        <v>0</v>
      </c>
      <c r="H271" s="10">
        <f>G271/Assumptions!$B$7</f>
        <v/>
      </c>
      <c r="I271" s="22">
        <f>G271*1000*Assumptions!$B$8/1000000</f>
        <v/>
      </c>
      <c r="J271" s="23" t="n">
        <v>7.4</v>
      </c>
      <c r="K271" s="10" t="n">
        <v>0</v>
      </c>
      <c r="L271" s="8" t="n">
        <v>0</v>
      </c>
      <c r="M271" s="7" t="inlineStr"/>
    </row>
    <row r="272">
      <c r="A272" s="15" t="inlineStr"/>
      <c r="B272" s="16" t="inlineStr">
        <is>
          <t>TOTAL</t>
        </is>
      </c>
      <c r="C272" s="15" t="inlineStr"/>
      <c r="D272" s="15" t="inlineStr"/>
      <c r="E272" s="15" t="inlineStr"/>
      <c r="F272" s="15" t="inlineStr"/>
      <c r="G272" s="18">
        <f>SUM(G5:G271)</f>
        <v/>
      </c>
      <c r="H272" s="15" t="inlineStr"/>
      <c r="I272" s="18">
        <f>SUM(I5:I271)</f>
        <v/>
      </c>
      <c r="J272" s="18">
        <f>SUM(J5:J271)</f>
        <v/>
      </c>
      <c r="K272" s="15" t="inlineStr"/>
      <c r="L272" s="17">
        <f>SUM(L5:L271)</f>
        <v/>
      </c>
      <c r="M272" s="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26" customWidth="1" min="3" max="3"/>
    <col width="6" customWidth="1" min="4" max="4"/>
    <col width="78" customWidth="1" min="5" max="5"/>
    <col width="62" customWidth="1" min="6" max="6"/>
  </cols>
  <sheetData>
    <row r="1">
      <c r="A1" s="1" t="inlineStr">
        <is>
          <t>Named contacts — verified from the public record only</t>
        </is>
      </c>
    </row>
    <row r="2">
      <c r="A2" s="2" t="inlineStr">
        <is>
          <t>Nobody on this sheet is a guess. Where a name could not be verified it has been left out rather than invented.</t>
        </is>
      </c>
    </row>
    <row r="4" ht="32" customHeight="1">
      <c r="A4" s="3" t="inlineStr">
        <is>
          <t>Name</t>
        </is>
      </c>
      <c r="B4" s="3" t="inlineStr">
        <is>
          <t>Role</t>
        </is>
      </c>
      <c r="C4" s="3" t="inlineStr">
        <is>
          <t>Organisation</t>
        </is>
      </c>
      <c r="D4" s="3" t="inlineStr">
        <is>
          <t>Conf.</t>
        </is>
      </c>
      <c r="E4" s="3" t="inlineStr">
        <is>
          <t>What is on the record</t>
        </is>
      </c>
      <c r="F4" s="3" t="inlineStr">
        <is>
          <t>Why this call</t>
        </is>
      </c>
    </row>
    <row r="5">
      <c r="A5" s="24" t="inlineStr">
        <is>
          <t>THE TWO CALLS THAT ARE WORTH MORE THAN ANY GENERATOR</t>
        </is>
      </c>
      <c r="B5" s="15" t="inlineStr"/>
      <c r="C5" s="15" t="inlineStr"/>
      <c r="D5" s="15" t="inlineStr"/>
      <c r="E5" s="15" t="inlineStr"/>
      <c r="F5" s="15" t="inlineStr"/>
    </row>
    <row r="6">
      <c r="A6" s="5" t="inlineStr">
        <is>
          <t>Elbia Gannoum</t>
        </is>
      </c>
      <c r="B6" s="7" t="inlineStr">
        <is>
          <t>CEO / Presidente-executiva</t>
        </is>
      </c>
      <c r="C6" s="7" t="inlineStr">
        <is>
          <t>ABEEólica</t>
        </is>
      </c>
      <c r="D6" s="13" t="inlineStr">
        <is>
          <t>H</t>
        </is>
      </c>
      <c r="E6" s="7" t="inlineStr">
        <is>
          <t>Speaks for ~40 member companies. Source of the ~R$6bn CCEE passivo figure. Has publicly refused to forecast take-up: 'Não posso garantir aqui que haverá adesão de 100%, nem de 50%.'</t>
        </is>
      </c>
      <c r="F6" s="7" t="inlineStr">
        <is>
          <t>One call reaches the whole membership. She is also the person who knows which members are wavering.</t>
        </is>
      </c>
    </row>
    <row r="7">
      <c r="A7" s="5" t="inlineStr">
        <is>
          <t>Donato da Silva Filho</t>
        </is>
      </c>
      <c r="B7" s="7" t="inlineStr">
        <is>
          <t>CEO / Diretor-geral</t>
        </is>
      </c>
      <c r="C7" s="7" t="inlineStr">
        <is>
          <t>Volt Robotics</t>
        </is>
      </c>
      <c r="D7" s="13" t="inlineStr">
        <is>
          <t>H</t>
        </is>
      </c>
      <c r="E7" s="7" t="inlineStr">
        <is>
          <t>Near-monopoly supplier of the sector's curtailment loss data — every R$ figure in the Brazilian press traces to him. Tested MME's SOSIN formula and found it produces 143% MORE sobreoferta than ONS's own calculation.</t>
        </is>
      </c>
      <c r="F7" s="7" t="inlineStr">
        <is>
          <t>PARTNER OR COMPETITOR. He has the classification data and the credibility; he does not have capital. That is a complementary pairing, and it is the single highest-value call on this sheet.</t>
        </is>
      </c>
    </row>
    <row r="8">
      <c r="A8" s="24" t="inlineStr">
        <is>
          <t>NAMED IN THE PUBLIC RECORD ON CURTAILMENT — these people have self-identified as caring</t>
        </is>
      </c>
      <c r="B8" s="15" t="inlineStr"/>
      <c r="C8" s="15" t="inlineStr"/>
      <c r="D8" s="15" t="inlineStr"/>
      <c r="E8" s="15" t="inlineStr"/>
      <c r="F8" s="15" t="inlineStr"/>
    </row>
    <row r="9">
      <c r="A9" s="5" t="inlineStr">
        <is>
          <t>Liu Aquino</t>
        </is>
      </c>
      <c r="B9" s="7" t="inlineStr">
        <is>
          <t>CEO</t>
        </is>
      </c>
      <c r="C9" s="7" t="inlineStr">
        <is>
          <t>Echoenergia (Equatorial)</t>
        </is>
      </c>
      <c r="D9" s="13" t="inlineStr">
        <is>
          <t>H</t>
        </is>
      </c>
      <c r="E9" s="7" t="inlineStr">
        <is>
          <t>Publicly: some plants at ~45% restriction, 'patamar que torna a operação insustentável'. Company is plaintiff in two of the twelve suits.</t>
        </is>
      </c>
      <c r="F9" s="7" t="inlineStr">
        <is>
          <t>Already litigating — must actively choose to abandon.</t>
        </is>
      </c>
    </row>
    <row r="10">
      <c r="A10" s="5" t="inlineStr">
        <is>
          <t>Bernardo Bezerra</t>
        </is>
      </c>
      <c r="B10" s="7" t="inlineStr">
        <is>
          <t>Diretor de Regulação e Inovação</t>
        </is>
      </c>
      <c r="C10" s="7" t="inlineStr">
        <is>
          <t>Serena Energia</t>
        </is>
      </c>
      <c r="D10" s="13" t="inlineStr">
        <is>
          <t>H</t>
        </is>
      </c>
      <c r="E10" s="7" t="inlineStr">
        <is>
          <t>Ex-PSR. Writes publicly on cut classification (eixos, 13 Apr 2026, 'Curtailment: separando o joio do trigo').</t>
        </is>
      </c>
      <c r="F10" s="7" t="inlineStr">
        <is>
          <t>The most technically credible regulatory director in the sector on precisely this issue.</t>
        </is>
      </c>
    </row>
    <row r="11">
      <c r="A11" s="5" t="inlineStr">
        <is>
          <t>Gabriel Mann</t>
        </is>
      </c>
      <c r="B11" s="7" t="inlineStr">
        <is>
          <t>Diretor de Regulação</t>
        </is>
      </c>
      <c r="C11" s="7" t="inlineStr">
        <is>
          <t>Engie Brasil Energia</t>
        </is>
      </c>
      <c r="D11" s="6" t="inlineStr">
        <is>
          <t>M</t>
        </is>
      </c>
      <c r="E11" s="7" t="inlineStr">
        <is>
          <t>Quoted updating Engie's curtailment projection to 25% for 2025.</t>
        </is>
      </c>
      <c r="F11" s="7" t="inlineStr">
        <is>
          <t>Engie discloses percentages but has never published an R$ figure.</t>
        </is>
      </c>
    </row>
    <row r="12">
      <c r="A12" s="5" t="inlineStr">
        <is>
          <t>Gustavo Estrella</t>
        </is>
      </c>
      <c r="B12" s="7" t="inlineStr">
        <is>
          <t>CEO</t>
        </is>
      </c>
      <c r="C12" s="7" t="inlineStr">
        <is>
          <t>CPFL Energia</t>
        </is>
      </c>
      <c r="D12" s="13" t="inlineStr">
        <is>
          <t>H</t>
        </is>
      </c>
      <c r="E12" s="7" t="inlineStr">
        <is>
          <t>Quoted on the step-change: 'Na média do semestre, tivemos um curtailment de 8,6% no ano passado, e nesse começo de ano, 20,9%.'</t>
        </is>
      </c>
      <c r="F12" s="7" t="inlineStr">
        <is>
          <t>CPFL is the most transparent discloser — R$558m FY2025 lost revenue, 30.8% curtailment.</t>
        </is>
      </c>
    </row>
    <row r="13">
      <c r="A13" s="5" t="inlineStr">
        <is>
          <t>Isabella Sene</t>
        </is>
      </c>
      <c r="B13" s="7" t="inlineStr">
        <is>
          <t>Regulatory lead</t>
        </is>
      </c>
      <c r="C13" s="7" t="inlineStr">
        <is>
          <t>ABSOLAR</t>
        </is>
      </c>
      <c r="D13" s="6" t="inlineStr">
        <is>
          <t>M</t>
        </is>
      </c>
      <c r="E13" s="7" t="inlineStr">
        <is>
          <t>Source of the R$2.8bn centralised-solar ACR figure for 2025. ABSOLAR has stated the manifestação de interesse does not itself waive existing suits.</t>
        </is>
      </c>
      <c r="F13" s="7" t="inlineStr">
        <is>
          <t>The solar counterpart to ABEEólica.</t>
        </is>
      </c>
    </row>
    <row r="14">
      <c r="A14" s="5" t="inlineStr">
        <is>
          <t>Francisco Silva</t>
        </is>
      </c>
      <c r="B14" s="7" t="inlineStr">
        <is>
          <t>Regulatory</t>
        </is>
      </c>
      <c r="C14" s="7" t="inlineStr">
        <is>
          <t>ABEEólica</t>
        </is>
      </c>
      <c r="D14" s="6" t="inlineStr">
        <is>
          <t>M</t>
        </is>
      </c>
      <c r="E14" s="7" t="inlineStr">
        <is>
          <t>Source of the R$2.5bn non-reimbursable sobreoferta figure.</t>
        </is>
      </c>
      <c r="F14" s="7" t="inlineStr">
        <is>
          <t>Has already quantified the waived side.</t>
        </is>
      </c>
    </row>
    <row r="15">
      <c r="A15" s="5" t="inlineStr">
        <is>
          <t>Rui Altieri</t>
        </is>
      </c>
      <c r="B15" s="7" t="inlineStr">
        <is>
          <t>Chairman</t>
        </is>
      </c>
      <c r="C15" s="7" t="inlineStr">
        <is>
          <t>APINE</t>
        </is>
      </c>
      <c r="D15" s="6" t="inlineStr">
        <is>
          <t>M</t>
        </is>
      </c>
      <c r="E15" s="7" t="inlineStr">
        <is>
          <t>Put the 2025 cost of curtailment at R$6bn.</t>
        </is>
      </c>
      <c r="F15" s="7" t="inlineStr">
        <is>
          <t>Independent producers' association — reaches the mid-caps.</t>
        </is>
      </c>
    </row>
    <row r="16">
      <c r="A16" s="24" t="inlineStr">
        <is>
          <t>REGULATORY AND OFFICIAL</t>
        </is>
      </c>
      <c r="B16" s="15" t="inlineStr"/>
      <c r="C16" s="15" t="inlineStr"/>
      <c r="D16" s="15" t="inlineStr"/>
      <c r="E16" s="15" t="inlineStr"/>
      <c r="F16" s="15" t="inlineStr"/>
    </row>
    <row r="17">
      <c r="A17" s="5" t="inlineStr">
        <is>
          <t>Agnes Maria de Aragão da Costa</t>
        </is>
      </c>
      <c r="B17" s="7" t="inlineStr">
        <is>
          <t>Diretora</t>
        </is>
      </c>
      <c r="C17" s="7" t="inlineStr">
        <is>
          <t>ANEEL</t>
        </is>
      </c>
      <c r="D17" s="13" t="inlineStr">
        <is>
          <t>H</t>
        </is>
      </c>
      <c r="E17" s="7" t="inlineStr">
        <is>
          <t>Authored the January 2026 medida cautelar suspending REN 1.030 reapurações (Processo 48500.000231/2026-56). Her voto is the authoritative source for the 46/41/13 classification split.</t>
        </is>
      </c>
      <c r="F17" s="7" t="inlineStr">
        <is>
          <t>Not a sales call. Read her voto before any regulatory conversation.</t>
        </is>
      </c>
    </row>
    <row r="18">
      <c r="A18" s="24" t="inlineStr">
        <is>
          <t>ADVISERS ALREADY PUBLISHING ON PORTARIA 140</t>
        </is>
      </c>
      <c r="B18" s="15" t="inlineStr"/>
      <c r="C18" s="15" t="inlineStr"/>
      <c r="D18" s="15" t="inlineStr"/>
      <c r="E18" s="15" t="inlineStr"/>
      <c r="F18" s="15" t="inlineStr"/>
    </row>
    <row r="19">
      <c r="A19" s="5" t="inlineStr">
        <is>
          <t>Raphael Gomes</t>
        </is>
      </c>
      <c r="B19" s="7" t="inlineStr">
        <is>
          <t>Partner, energy regulatory</t>
        </is>
      </c>
      <c r="C19" s="7" t="inlineStr">
        <is>
          <t>Lefosse</t>
        </is>
      </c>
      <c r="D19" s="13" t="inlineStr">
        <is>
          <t>H</t>
        </is>
      </c>
      <c r="E19" s="7" t="inlineStr">
        <is>
          <t>Published a client alert on Portaria 140. Quoted: 'Com a tratativa atual, podemos ter mais uma onda de judicialização.'</t>
        </is>
      </c>
      <c r="F19" s="7" t="inlineStr">
        <is>
          <t>Already advising on this. Either a co-counsel or the competition — worth knowing which.</t>
        </is>
      </c>
    </row>
    <row r="20">
      <c r="A20" s="5" t="inlineStr">
        <is>
          <t>(Mattos Filho energy team)</t>
        </is>
      </c>
      <c r="B20" s="7" t="inlineStr">
        <is>
          <t>—</t>
        </is>
      </c>
      <c r="C20" s="7" t="inlineStr">
        <is>
          <t>Mattos Filho</t>
        </is>
      </c>
      <c r="D20" s="6" t="inlineStr">
        <is>
          <t>M</t>
        </is>
      </c>
      <c r="E20" s="7" t="inlineStr">
        <is>
          <t>Published a Portaria 140 client alert.</t>
        </is>
      </c>
      <c r="F20" s="7" t="inlineStr">
        <is>
          <t>Same.</t>
        </is>
      </c>
    </row>
    <row r="21">
      <c r="A21" s="24" t="inlineStr">
        <is>
          <t>THINK TANKS AND CONSULTANCIES WITH PUBLISHED POSITIONS</t>
        </is>
      </c>
      <c r="B21" s="15" t="inlineStr"/>
      <c r="C21" s="15" t="inlineStr"/>
      <c r="D21" s="15" t="inlineStr"/>
      <c r="E21" s="15" t="inlineStr"/>
      <c r="F21" s="15" t="inlineStr"/>
    </row>
    <row r="22">
      <c r="A22" s="5" t="inlineStr">
        <is>
          <t>Eduardo Müller Monteiro</t>
        </is>
      </c>
      <c r="B22" s="7" t="inlineStr">
        <is>
          <t>—</t>
        </is>
      </c>
      <c r="C22" s="7" t="inlineStr">
        <is>
          <t>Instituto Acende Brasil</t>
        </is>
      </c>
      <c r="D22" s="13" t="inlineStr">
        <is>
          <t>H</t>
        </is>
      </c>
      <c r="E22" s="7" t="inlineStr">
        <is>
          <t>Presented to the Senate CI hearing 30 Sep 2025. Best-documented independent methodology: R$3.85bn all cuts at PLD, R$2.85bn for the compensable subset.</t>
        </is>
      </c>
      <c r="F22" s="7" t="inlineStr">
        <is>
          <t>The most rigorous public work on sizing. Read it before modelling.</t>
        </is>
      </c>
    </row>
    <row r="23">
      <c r="A23" s="5" t="inlineStr">
        <is>
          <t>João Carlos Mello</t>
        </is>
      </c>
      <c r="B23" s="7" t="inlineStr">
        <is>
          <t>—</t>
        </is>
      </c>
      <c r="C23" s="7" t="inlineStr">
        <is>
          <t>Thymos Energia</t>
        </is>
      </c>
      <c r="D23" s="6" t="inlineStr">
        <is>
          <t>M</t>
        </is>
      </c>
      <c r="E23" s="7" t="inlineStr">
        <is>
          <t>Argues PLD/CMO at R$200–300/MWh during oversupply is itself the distortion. Publishes no R$ tally.</t>
        </is>
      </c>
      <c r="F23" s="7" t="inlineStr">
        <is>
          <t>Useful on the price mechanics.</t>
        </is>
      </c>
    </row>
    <row r="24">
      <c r="A24" s="5" t="inlineStr">
        <is>
          <t>Jean Paul Prates</t>
        </is>
      </c>
      <c r="B24" s="7" t="inlineStr">
        <is>
          <t>Chairman</t>
        </is>
      </c>
      <c r="C24" s="7" t="inlineStr">
        <is>
          <t>Cerne</t>
        </is>
      </c>
      <c r="D24" s="13" t="inlineStr">
        <is>
          <t>H</t>
        </is>
      </c>
      <c r="E24" s="7" t="inlineStr">
        <is>
          <t>Ex-Petrobras CEO. Cerne/CarpeVie put losses above R$5bn, 70% in the Nordeste.</t>
        </is>
      </c>
      <c r="F24" s="7" t="inlineStr">
        <is>
          <t>Political reach as much as technical.</t>
        </is>
      </c>
    </row>
    <row r="25">
      <c r="A25" s="24" t="inlineStr">
        <is>
          <t>HOW TO USE THIS SHEET</t>
        </is>
      </c>
      <c r="B25" s="15" t="inlineStr"/>
      <c r="C25" s="15" t="inlineStr"/>
      <c r="D25" s="15" t="inlineStr"/>
      <c r="E25" s="15" t="inlineStr"/>
      <c r="F25" s="15" t="inlineStr"/>
    </row>
    <row r="26">
      <c r="A26" s="5" t="inlineStr">
        <is>
          <t>No email addresses are given here</t>
        </is>
      </c>
      <c r="B26" s="7" t="inlineStr">
        <is>
          <t>—</t>
        </is>
      </c>
      <c r="C26" s="7" t="inlineStr">
        <is>
          <t>—</t>
        </is>
      </c>
      <c r="D26" s="25" t="inlineStr">
        <is>
          <t>—</t>
        </is>
      </c>
      <c r="E26" s="7" t="inlineStr">
        <is>
          <t>Every name above is sourced from a published quote, filing or IR page. NO EMAIL ADDRESS HAS BEEN CONSTRUCTED OR GUESSED — the Apollo database returned a billing error on this account, so nothing here comes from a contact database.</t>
        </is>
      </c>
      <c r="F26" s="7" t="inlineStr">
        <is>
          <t>Route in through GC's network rather than cold email. For the ones with no route, the association call (Gannoum, Sene) is the way in.</t>
        </is>
      </c>
    </row>
    <row r="27">
      <c r="A27" s="5" t="inlineStr">
        <is>
          <t>Company CFOs and GCs are deliberately not listed</t>
        </is>
      </c>
      <c r="B27" s="7" t="inlineStr">
        <is>
          <t>—</t>
        </is>
      </c>
      <c r="C27" s="7" t="inlineStr">
        <is>
          <t>—</t>
        </is>
      </c>
      <c r="D27" s="25" t="inlineStr">
        <is>
          <t>—</t>
        </is>
      </c>
      <c r="E27" s="7" t="inlineStr">
        <is>
          <t>A separate agent was still searching IR pages and CVM filings when this was built. Rather than pad the sheet with guessed names, the roles are left for GC to fill from his own network — which is faster and more accurate than anything scraped.</t>
        </is>
      </c>
      <c r="F27" s="7" t="inlineStr">
        <is>
          <t>The five names at the top of this sheet are enough to start.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4" topLeftCell="A5" activePane="bottomLeft" state="frozen"/>
      <selection pane="bottomLeft" activeCell="A1" sqref="A1"/>
    </sheetView>
  </sheetViews>
  <sheetFormatPr baseColWidth="8" defaultRowHeight="15"/>
  <cols>
    <col width="46" customWidth="1" min="1" max="1"/>
    <col width="14" customWidth="1" min="2" max="2"/>
    <col width="10" customWidth="1" min="3" max="3"/>
    <col width="96" customWidth="1" min="4" max="4"/>
  </cols>
  <sheetData>
    <row r="1">
      <c r="A1" s="1" t="inlineStr">
        <is>
          <t>Assumptions and method</t>
        </is>
      </c>
    </row>
    <row r="2">
      <c r="A2" s="2" t="inlineStr">
        <is>
          <t>Yellow cells are inputs. Everything else is a formula. Read the second block before quoting any number.</t>
        </is>
      </c>
    </row>
    <row r="4" ht="32" customHeight="1">
      <c r="A4" s="3" t="inlineStr">
        <is>
          <t>Input</t>
        </is>
      </c>
      <c r="B4" s="3" t="inlineStr">
        <is>
          <t>Value</t>
        </is>
      </c>
      <c r="C4" s="3" t="inlineStr">
        <is>
          <t>Unit</t>
        </is>
      </c>
      <c r="D4" s="3" t="inlineStr">
        <is>
          <t>Basis, and how much to trust it</t>
        </is>
      </c>
    </row>
    <row r="5">
      <c r="A5" s="24" t="inlineStr">
        <is>
          <t>INPUTS — edit the yellow cells; every estimate on the other tabs recalculates</t>
        </is>
      </c>
      <c r="B5" s="15" t="inlineStr"/>
      <c r="C5" s="15" t="inlineStr"/>
      <c r="D5" s="15" t="inlineStr"/>
    </row>
    <row r="6">
      <c r="A6" s="5" t="inlineStr">
        <is>
          <t>Compensation pool, Portaria 140 window</t>
        </is>
      </c>
      <c r="B6" s="26" t="n">
        <v>3300</v>
      </c>
      <c r="C6" s="7" t="inlineStr">
        <is>
          <t>R$ m</t>
        </is>
      </c>
      <c r="D6" s="7" t="inlineStr">
        <is>
          <t>MME's own estimate as reported 21–23 Jul 2026. Volt Robotics says R$2,700m; ABEEólica R$3,300m; Folhapress reports MME at R$3,490m. NO PRIMARY DOCUMENT STATES ANY FIGURE — the Portaria itself sets no pool.</t>
        </is>
      </c>
    </row>
    <row r="7">
      <c r="A7" s="5" t="inlineStr">
        <is>
          <t>Eligible curtailment in the window</t>
        </is>
      </c>
      <c r="B7" s="26" t="n">
        <v>25326</v>
      </c>
      <c r="C7" s="7" t="inlineStr">
        <is>
          <t>GWh</t>
        </is>
      </c>
      <c r="D7" s="7" t="inlineStr">
        <is>
          <t>COMPUTED, not sourced. Built from ONS half-hourly constrained-off open data for 1 Sep 2023 – 25 Nov 2025, counting only REL (indisponibilidade externa) and CNF (confiabilidade elétrica). Excludes ENE (sobreoferta), which the Portaria does not pay for.</t>
        </is>
      </c>
    </row>
    <row r="8">
      <c r="A8" s="5" t="inlineStr">
        <is>
          <t>Implied compensation price</t>
        </is>
      </c>
      <c r="B8" s="27">
        <f>B6/B7*1000</f>
        <v/>
      </c>
      <c r="C8" s="7" t="inlineStr">
        <is>
          <t>R$/MWh</t>
        </is>
      </c>
      <c r="D8" s="7">
        <f> pool / eligible volume. Sits between the PLD floor (R$57.31 in 2026) and ACR contract prices, so the pool estimates are internally coherent.</f>
        <v/>
      </c>
    </row>
    <row r="9">
      <c r="A9" s="5" t="inlineStr">
        <is>
          <t>IPCA uplift, event date to payment</t>
        </is>
      </c>
      <c r="B9" s="28" t="n">
        <v>0.22</v>
      </c>
      <c r="C9" s="7" t="inlineStr">
        <is>
          <t>%</t>
        </is>
      </c>
      <c r="D9" s="7" t="inlineStr">
        <is>
          <t>EDITABLE. Art. 6º §1º indexes from each event date to actual payment. Events run Sep 2023–Nov 2025; payment late 2027–H1 2028. A rough 22% assumes ~4.5%/yr over ~4.4 years average. Replace with a proper monthly IPCA build before pricing anything.</t>
        </is>
      </c>
    </row>
    <row r="10">
      <c r="A10" s="5" t="inlineStr">
        <is>
          <t>Sutphin fee on an advisory mandate</t>
        </is>
      </c>
      <c r="B10" s="28" t="n">
        <v>0.015</v>
      </c>
      <c r="C10" s="7" t="inlineStr">
        <is>
          <t>%</t>
        </is>
      </c>
      <c r="D10" s="7" t="inlineStr">
        <is>
          <t>EDITABLE. Illustrative only. No mandate has been signed and no fee has been discussed with anyone.</t>
        </is>
      </c>
    </row>
    <row r="11">
      <c r="A11" s="24" t="inlineStr"/>
      <c r="B11" s="15" t="inlineStr"/>
      <c r="C11" s="15" t="inlineStr"/>
      <c r="D11" s="15" t="inlineStr"/>
    </row>
    <row r="12">
      <c r="A12" s="24" t="inlineStr">
        <is>
          <t>WHAT THIS MODEL DELIBERATELY DOES NOT DO</t>
        </is>
      </c>
      <c r="B12" s="15" t="inlineStr"/>
      <c r="C12" s="15" t="inlineStr"/>
      <c r="D12" s="15" t="inlineStr"/>
    </row>
    <row r="13">
      <c r="A13" s="24" t="inlineStr">
        <is>
          <t>It does not split cash from book entry</t>
        </is>
      </c>
      <c r="B13" s="15" t="inlineStr"/>
      <c r="C13" s="15" t="inlineStr"/>
      <c r="D13" s="15" t="inlineStr"/>
    </row>
    <row r="14">
      <c r="A14" s="24" t="inlineStr">
        <is>
          <t>It does not net against what they owe CCEE</t>
        </is>
      </c>
      <c r="B14" s="15" t="inlineStr"/>
      <c r="C14" s="15" t="inlineStr"/>
      <c r="D14" s="15" t="inlineStr"/>
    </row>
    <row r="15">
      <c r="A15" s="24" t="inlineStr">
        <is>
          <t>It does not price the waiver</t>
        </is>
      </c>
      <c r="B15" s="15" t="inlineStr"/>
      <c r="C15" s="15" t="inlineStr"/>
      <c r="D15" s="15" t="inlineStr"/>
    </row>
    <row r="16">
      <c r="A16" s="24" t="inlineStr">
        <is>
          <t>It does not value the garantia física loss</t>
        </is>
      </c>
      <c r="B16" s="15" t="inlineStr"/>
      <c r="C16" s="15" t="inlineStr"/>
      <c r="D16" s="15" t="inlineStr"/>
    </row>
    <row r="17">
      <c r="A17" s="24" t="inlineStr">
        <is>
          <t>It uses one price for everyone</t>
        </is>
      </c>
      <c r="B17" s="15" t="inlineStr"/>
      <c r="C17" s="15" t="inlineStr"/>
      <c r="D17" s="1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6"/>
  <sheetViews>
    <sheetView workbookViewId="0">
      <pane ySplit="4" topLeftCell="A5" activePane="bottomLeft" state="frozen"/>
      <selection pane="bottomLeft" activeCell="A1" sqref="A1"/>
    </sheetView>
  </sheetViews>
  <sheetFormatPr baseColWidth="8" defaultRowHeight="15"/>
  <cols>
    <col width="34" customWidth="1" min="1" max="1"/>
    <col width="46" customWidth="1" min="2" max="2"/>
    <col width="88" customWidth="1" min="3" max="3"/>
  </cols>
  <sheetData>
    <row r="1" ht="20" customHeight="1">
      <c r="A1" s="1" t="inlineStr">
        <is>
          <t>Portaria Normativa MME nº 140/2026 — what it actually says</t>
        </is>
      </c>
    </row>
    <row r="2">
      <c r="A2" s="2" t="inlineStr">
        <is>
          <t>Everything below is from the primary text in the DOU of 21 July 2026. Article references are exact. Where the Portaria is silent, this sheet says so rather than filling the gap.</t>
        </is>
      </c>
    </row>
    <row r="4" ht="30" customHeight="1">
      <c r="A4" s="3" t="inlineStr">
        <is>
          <t>Point</t>
        </is>
      </c>
      <c r="B4" s="3" t="inlineStr">
        <is>
          <t>Position</t>
        </is>
      </c>
      <c r="C4" s="3" t="inlineStr">
        <is>
          <t>Detail and article reference</t>
        </is>
      </c>
    </row>
    <row r="5" ht="18" customHeight="1">
      <c r="A5" s="24" t="inlineStr">
        <is>
          <t>THE INSTRUMENT</t>
        </is>
      </c>
      <c r="B5" s="15" t="inlineStr"/>
      <c r="C5" s="15" t="inlineStr"/>
    </row>
    <row r="6">
      <c r="A6" s="5" t="inlineStr">
        <is>
          <t>Citation</t>
        </is>
      </c>
      <c r="B6" s="7" t="inlineStr">
        <is>
          <t>Portaria Normativa MME nº 140, de 18 de julho de 2026</t>
        </is>
      </c>
      <c r="C6" s="7" t="inlineStr">
        <is>
          <t>DOU 21/07/2026, Ed. 135-A, Seção 1 – Extra A, p. 10. 12 articles + Anexo (minuta do Termo).</t>
        </is>
      </c>
    </row>
    <row r="7">
      <c r="A7" s="5" t="inlineStr">
        <is>
          <t>Statutory basis</t>
        </is>
      </c>
      <c r="B7" s="7" t="inlineStr">
        <is>
          <t>Art. 1º-B, Lei 10.848/2004, inserted by Lei 15.269/2025</t>
        </is>
      </c>
      <c r="C7" s="7" t="inlineStr">
        <is>
          <t>Lei 15.269/2025 published DOU 25.11.2025, in force on publication — which is what fixes the window's end date.</t>
        </is>
      </c>
    </row>
    <row r="8">
      <c r="A8" s="5" t="inlineStr">
        <is>
          <t>Instrument created</t>
        </is>
      </c>
      <c r="B8" s="7" t="inlineStr">
        <is>
          <t>Termo de Compromisso</t>
        </is>
      </c>
      <c r="C8" s="7" t="inlineStr">
        <is>
          <t>Not a termo de adesão, not a transação, not a reconhecimento de dívida.</t>
        </is>
      </c>
    </row>
    <row r="9">
      <c r="A9" s="5" t="inlineStr">
        <is>
          <t>Parties</t>
        </is>
      </c>
      <c r="B9" s="7" t="inlineStr">
        <is>
          <t>A UNIÃO, via MME (Poder Concedente) + the GERADOR</t>
        </is>
      </c>
      <c r="C9" s="7" t="inlineStr">
        <is>
          <t>CCEE is NOT a party — it is the operational agent. ENBPar is interveniente for Proinfa only.</t>
        </is>
      </c>
    </row>
    <row r="10">
      <c r="A10" s="5" t="inlineStr">
        <is>
          <t>Legal nature</t>
        </is>
      </c>
      <c r="B10" s="7" t="inlineStr">
        <is>
          <t>Título executivo extrajudicial (Cl. 11ª, art. 784 II and III, CPC)</t>
        </is>
      </c>
      <c r="C10" s="7" t="inlineStr">
        <is>
          <t>Directly enforceable against the União. Forum: Justiça Federal, Seção Judiciária do DF. No arbitration.</t>
        </is>
      </c>
    </row>
    <row r="11">
      <c r="A11" s="5" t="inlineStr">
        <is>
          <t>Hierarchy</t>
        </is>
      </c>
      <c r="B11" s="7" t="inlineStr">
        <is>
          <t>Termo &gt; Portaria 140 &gt; CCEE Procedimentos e Regras de Comercialização</t>
        </is>
      </c>
      <c r="C11" s="7" t="inlineStr">
        <is>
          <t>Termo, Cl. 5ª, Subcl. 4ª. Matters if CCEE's rules end up narrower than the Termo.</t>
        </is>
      </c>
    </row>
    <row r="12" ht="18" customHeight="1">
      <c r="A12" s="24" t="inlineStr">
        <is>
          <t>DATES</t>
        </is>
      </c>
      <c r="B12" s="15" t="inlineStr"/>
      <c r="C12" s="15" t="inlineStr"/>
    </row>
    <row r="13">
      <c r="A13" s="5" t="inlineStr">
        <is>
          <t>ELECTION DEADLINE</t>
        </is>
      </c>
      <c r="B13" s="7" t="inlineStr">
        <is>
          <t>10 AUGUST 2026</t>
        </is>
      </c>
      <c r="C13" s="7" t="inlineStr">
        <is>
          <t>Art. 2º I — 20 days from publication on 21.07.2026. NOTE: the weekend roll-forward in arts. 4º §4º and 5º §9º does NOT apply to art. 2º. It lands on a Monday, so the point is moot — but assume no elasticity.</t>
        </is>
      </c>
    </row>
    <row r="14">
      <c r="A14" s="5" t="inlineStr">
        <is>
          <t>Curtailment window compensated</t>
        </is>
      </c>
      <c r="B14" s="7" t="inlineStr">
        <is>
          <t>1 Sep 2023 to 25 Nov 2025, inclusive</t>
        </is>
      </c>
      <c r="C14" s="7" t="inlineStr">
        <is>
          <t>Art. 1º, parágrafo único. End date = entry into force of art. 1º-B.</t>
        </is>
      </c>
    </row>
    <row r="15">
      <c r="A15" s="5" t="inlineStr">
        <is>
          <t>CCEE adapted rules due</t>
        </is>
      </c>
      <c r="B15" s="7" t="inlineStr">
        <is>
          <t>~19 Sep 2026</t>
        </is>
      </c>
      <c r="C15" s="7" t="inlineStr">
        <is>
          <t>Art. 7º §1º — 60 days.</t>
        </is>
      </c>
    </row>
    <row r="16">
      <c r="A16" s="5" t="inlineStr">
        <is>
          <t>ONS calculation tool + cronograma</t>
        </is>
      </c>
      <c r="B16" s="7" t="inlineStr">
        <is>
          <t>~18 Nov 2026</t>
        </is>
      </c>
      <c r="C16" s="7" t="inlineStr">
        <is>
          <t>Art. 5º §1º I — 120 days.</t>
        </is>
      </c>
    </row>
    <row r="17">
      <c r="A17" s="5" t="inlineStr">
        <is>
          <t>ONS final database to CCEE</t>
        </is>
      </c>
      <c r="B17" s="7" t="inlineStr">
        <is>
          <t>~27 Apr 2027</t>
        </is>
      </c>
      <c r="C17" s="7" t="inlineStr">
        <is>
          <t>Chain of art. 5º deadlines.</t>
        </is>
      </c>
    </row>
    <row r="18">
      <c r="A18" s="5" t="inlineStr">
        <is>
          <t>Convocação to sign</t>
        </is>
      </c>
      <c r="B18" s="7" t="inlineStr">
        <is>
          <t>Cannot issue before the above</t>
        </is>
      </c>
      <c r="C18" s="7" t="inlineStr">
        <is>
          <t>Art. 2º §3º.</t>
        </is>
      </c>
    </row>
    <row r="19">
      <c r="A19" s="5" t="inlineStr">
        <is>
          <t>CCEE publishes cut volumes</t>
        </is>
      </c>
      <c r="B19" s="7" t="inlineStr">
        <is>
          <t>~27 May 2027</t>
        </is>
      </c>
      <c r="C19" s="7" t="inlineStr">
        <is>
          <t>Art. 5º §8º.</t>
        </is>
      </c>
    </row>
    <row r="20">
      <c r="A20" s="5" t="inlineStr">
        <is>
          <t>PAYMENT</t>
        </is>
      </c>
      <c r="B20" s="7" t="inlineStr">
        <is>
          <t>Late 2027 base case; H1 2028 on the outer limits</t>
        </is>
      </c>
      <c r="C20" s="7" t="inlineStr">
        <is>
          <t>Art. 6º §2º — 180 days from the first business day after the signature deadline. The Portaria fixes NO calendar date, only a chain of relative deadlines.</t>
        </is>
      </c>
    </row>
    <row r="21" ht="18" customHeight="1">
      <c r="A21" s="24" t="inlineStr">
        <is>
          <t>WHO IS ELIGIBLE</t>
        </is>
      </c>
      <c r="B21" s="15" t="inlineStr"/>
      <c r="C21" s="15" t="inlineStr"/>
    </row>
    <row r="22">
      <c r="A22" s="5" t="inlineStr">
        <is>
          <t>Sources</t>
        </is>
      </c>
      <c r="B22" s="7" t="inlineStr">
        <is>
          <t>Wind and solar FOTOVOLTAICA only</t>
        </is>
      </c>
      <c r="C22" s="7" t="inlineStr">
        <is>
          <t>Art. 1º. CSP/heliotérmica is not covered by the wording.</t>
        </is>
      </c>
    </row>
    <row r="23">
      <c r="A23" s="5" t="inlineStr">
        <is>
          <t>Connection</t>
        </is>
      </c>
      <c r="B23" s="7" t="inlineStr">
        <is>
          <t>Rede Básica and DITs no âmbito da distribuição</t>
        </is>
      </c>
      <c r="C23" s="7" t="inlineStr">
        <is>
          <t>VIRES POINT: the statute says only 'conectada ao SIN'. The Portaria narrows it, arguably excluding SIN-connected plants on non-DIT distribution assets.</t>
        </is>
      </c>
    </row>
    <row r="24">
      <c r="A24" s="5" t="inlineStr">
        <is>
          <t>Who holds the right</t>
        </is>
      </c>
      <c r="B24" s="7" t="inlineStr">
        <is>
          <t>Titular de usina com outorga — the grant holder, not the offtaker</t>
        </is>
      </c>
      <c r="C24" s="7" t="inlineStr"/>
    </row>
    <row r="25">
      <c r="A25" s="5" t="inlineStr">
        <is>
          <t>Contract regime</t>
        </is>
      </c>
      <c r="B25" s="7" t="inlineStr">
        <is>
          <t>ACR, ACL and autoprodução are ALL eligible</t>
        </is>
      </c>
      <c r="C25" s="7" t="inlineStr">
        <is>
          <t>Termo Cl. 1ª Subcl. 1ª — compensation is due 'independentemente do ambiente ou da modalidade de contratação', with no garantia física cap, no contracted-volume cap, and no frequency or duration threshold.</t>
        </is>
      </c>
    </row>
    <row r="26">
      <c r="A26" s="5" t="inlineStr">
        <is>
          <t>Thresholds</t>
        </is>
      </c>
      <c r="B26" s="7" t="inlineStr">
        <is>
          <t>None — no MW floor, no COD cut-off, no minimum curtailment volume</t>
        </is>
      </c>
      <c r="C26" s="7" t="inlineStr"/>
    </row>
    <row r="27" ht="18" customHeight="1">
      <c r="A27" s="24" t="inlineStr">
        <is>
          <t>WHAT IS PAID FOR</t>
        </is>
      </c>
      <c r="B27" s="15" t="inlineStr"/>
      <c r="C27" s="15" t="inlineStr"/>
    </row>
    <row r="28">
      <c r="A28" s="5" t="inlineStr">
        <is>
          <t>Indisponibilidade externa</t>
        </is>
      </c>
      <c r="B28" s="7" t="inlineStr">
        <is>
          <t>COMPENSATED — 100%, no haircut</t>
        </is>
      </c>
      <c r="C28" s="7" t="inlineStr">
        <is>
          <t>Termo Cl. 2ª.</t>
        </is>
      </c>
    </row>
    <row r="29">
      <c r="A29" s="5" t="inlineStr">
        <is>
          <t>Confiabilidade elétrica</t>
        </is>
      </c>
      <c r="B29" s="7" t="inlineStr">
        <is>
          <t>COMPENSATED — 100%, no haircut</t>
        </is>
      </c>
      <c r="C29" s="7" t="inlineStr">
        <is>
          <t>Termo Cl. 3ª.</t>
        </is>
      </c>
    </row>
    <row r="30">
      <c r="A30" s="5" t="inlineStr">
        <is>
          <t>Sobreoferta de energia</t>
        </is>
      </c>
      <c r="B30" s="7" t="inlineStr">
        <is>
          <t>NOT COMPENSATED</t>
        </is>
      </c>
      <c r="C30" s="7" t="inlineStr">
        <is>
          <t>Termo Cl. 1ª Subcl. 2ª. This is the majority of curtailed volume and it is the commercial heart of the problem.</t>
        </is>
      </c>
    </row>
    <row r="31">
      <c r="A31" s="5" t="inlineStr">
        <is>
          <t>Mixed hours</t>
        </is>
      </c>
      <c r="B31" s="7" t="inlineStr">
        <is>
          <t>Indisponibilidade externa prevails, then confiabilidade; sobreoferta loses</t>
        </is>
      </c>
      <c r="C31" s="7" t="inlineStr">
        <is>
          <t>Art. 5º §5º. Generator-favourable tie-break.</t>
        </is>
      </c>
    </row>
    <row r="32">
      <c r="A32" s="5" t="inlineStr">
        <is>
          <t>Own-asset carve-out</t>
        </is>
      </c>
      <c r="B32" s="7" t="inlineStr">
        <is>
          <t>Curtailment traced to the generator's own or shared connection assets is NOT compensated</t>
        </is>
      </c>
      <c r="C32" s="7" t="inlineStr">
        <is>
          <t>Termo Cl. 2ª/3ª, Subcl. 2ª/3ª.</t>
        </is>
      </c>
    </row>
    <row r="33">
      <c r="A33" s="5" t="inlineStr">
        <is>
          <t>Set-off</t>
        </is>
      </c>
      <c r="B33" s="7" t="inlineStr">
        <is>
          <t>Amounts already received under existing rules are deducted</t>
        </is>
      </c>
      <c r="C33" s="7" t="inlineStr">
        <is>
          <t>Termo Cl. 5ª Subcl. 1ª VII.</t>
        </is>
      </c>
    </row>
    <row r="34" ht="18" customHeight="1">
      <c r="A34" s="24" t="inlineStr">
        <is>
          <t>HOW IT IS VALUED — THE WATERFALL</t>
        </is>
      </c>
      <c r="B34" s="15" t="inlineStr"/>
      <c r="C34" s="15" t="inlineStr"/>
    </row>
    <row r="35">
      <c r="A35" s="5" t="inlineStr">
        <is>
          <t>Step 1 — CCEAR-D / CER commitments</t>
        </is>
      </c>
      <c r="B35" s="7" t="inlineStr">
        <is>
          <t>DEBT RELIEF, NOT CASH</t>
        </is>
      </c>
      <c r="C35" s="7" t="inlineStr">
        <is>
          <t>Cl. 5ª Subcl. 1ª III: curtailed MWh are treated as energy DELIVERED against CCEAR-D and CER commitments, reducing the generator's delivery-shortfall ressarcimentos. No money moves.</t>
        </is>
      </c>
    </row>
    <row r="36">
      <c r="A36" s="5" t="inlineStr">
        <is>
          <t>Step 2 — residual contracted</t>
        </is>
      </c>
      <c r="B36" s="7" t="inlineStr">
        <is>
          <t>Valued on the respective contract terms</t>
        </is>
      </c>
      <c r="C36" s="7" t="inlineStr">
        <is>
          <t>Cl. 5ª Subcl. 1ª IV.</t>
        </is>
      </c>
    </row>
    <row r="37">
      <c r="A37" s="5" t="inlineStr">
        <is>
          <t>Step 3 — UNCONTRACTED volume</t>
        </is>
      </c>
      <c r="B37" s="7" t="inlineStr">
        <is>
          <t>CASH, at PLD of the plant's submarket</t>
        </is>
      </c>
      <c r="C37" s="7" t="inlineStr">
        <is>
          <t>Cl. 5ª Subcl. 1ª V: 'deverá ser repassada ao GERADOR'. THIS IS THE ONLY TRANCHE THAT PRODUCES A RECEIVABLE ANYONE CAN BUY.</t>
        </is>
      </c>
    </row>
    <row r="38">
      <c r="A38" s="5" t="inlineStr">
        <is>
          <t>Step 4 — Proinfa</t>
        </is>
      </c>
      <c r="B38" s="7" t="inlineStr">
        <is>
          <t>At the Proinfa contract price in force at the date of the cut, paid via ENBPar</t>
        </is>
      </c>
      <c r="C38" s="7" t="inlineStr">
        <is>
          <t>Cl. 5ª Subcl. 1ª VI; Art. 9º.</t>
        </is>
      </c>
    </row>
    <row r="39">
      <c r="A39" s="5" t="inlineStr">
        <is>
          <t>Indexation</t>
        </is>
      </c>
      <c r="B39" s="7" t="inlineStr">
        <is>
          <t>IPCA, from the date of EACH curtailment event to actual payment</t>
        </is>
      </c>
      <c r="C39" s="7" t="inlineStr">
        <is>
          <t>Art. 6º §1º. Runs from 2023–2025 event dates, so the accrued uplift by payment is substantial.</t>
        </is>
      </c>
    </row>
    <row r="40">
      <c r="A40" s="5" t="inlineStr">
        <is>
          <t>Interest</t>
        </is>
      </c>
      <c r="B40" s="7" t="inlineStr">
        <is>
          <t>SILENT — no juros, no mora, no Selic anywhere in the text</t>
        </is>
      </c>
      <c r="C40" s="7" t="inlineStr">
        <is>
          <t>Monetary correction only.</t>
        </is>
      </c>
    </row>
    <row r="41">
      <c r="A41" s="5" t="inlineStr">
        <is>
          <t>MCP default-sharing</t>
        </is>
      </c>
      <c r="B41" s="7" t="inlineStr">
        <is>
          <t>CARVED OUT — credits do not participate in the rateio da inadimplência</t>
        </is>
      </c>
      <c r="C41" s="7" t="inlineStr">
        <is>
          <t>Art. 6º §6º, unambiguous. The generator does not bear other agents' defaults on this amount.</t>
        </is>
      </c>
    </row>
    <row r="42" ht="18" customHeight="1">
      <c r="A42" s="24" t="inlineStr">
        <is>
          <t>WHO ACTUALLY PAYS</t>
        </is>
      </c>
      <c r="B42" s="15" t="inlineStr"/>
      <c r="C42" s="15" t="inlineStr"/>
    </row>
    <row r="43">
      <c r="A43" s="5" t="inlineStr">
        <is>
          <t>Funding source</t>
        </is>
      </c>
      <c r="B43" s="7" t="inlineStr">
        <is>
          <t>NOT the CDE, NOT a new encargo</t>
        </is>
      </c>
      <c r="C43" s="7" t="inlineStr">
        <is>
          <t>Zero mentions of CDE, encargo or tarifa in the Portaria. Funded under art. 1º-B §5º from unliquidated ressarcimentos OWED BY wind and solar generators under CER and CCEAR-D (modalidade disponibilidade).</t>
        </is>
      </c>
    </row>
    <row r="44">
      <c r="A44" s="5" t="inlineStr">
        <is>
          <t>Mechanism</t>
        </is>
      </c>
      <c r="B44" s="7" t="inlineStr">
        <is>
          <t>Recontabilização financeira de eventos passados, via monthly recontabilisation events</t>
        </is>
      </c>
      <c r="C44" s="7" t="inlineStr">
        <is>
          <t>Art. 6º caput and §4º/§5º. Liquidations under ANEEL Despacho 148 of 20.01.2026 are suspended for signatories (§3º) and resumed for all, net of signatories' reduction (§5º).</t>
        </is>
      </c>
    </row>
    <row r="45">
      <c r="A45" s="5" t="inlineStr">
        <is>
          <t>Reported size</t>
        </is>
      </c>
      <c r="B45" s="7" t="inlineStr">
        <is>
          <t>~R$3.3bn of credit against ~R$6bn of generator debt to CCEE</t>
        </is>
      </c>
      <c r="C45" s="7" t="inlineStr">
        <is>
          <t>PRESS ESTIMATE ONLY (Poder360). MME's own release states the values are not yet defined and will only be known after the apuração stages.</t>
        </is>
      </c>
    </row>
    <row r="46" ht="18" customHeight="1">
      <c r="A46" s="24" t="inlineStr">
        <is>
          <t>THE WAIVER — READ THIS TWICE</t>
        </is>
      </c>
      <c r="B46" s="15" t="inlineStr"/>
      <c r="C46" s="15" t="inlineStr"/>
    </row>
    <row r="47">
      <c r="A47" s="5" t="inlineStr">
        <is>
          <t>Scope</t>
        </is>
      </c>
      <c r="B47" s="7" t="inlineStr">
        <is>
          <t>Irrevocable and irretractable waiver of the right to litigate ANY curtailment event to 25 Nov 2025</t>
        </is>
      </c>
      <c r="C47" s="7" t="inlineStr">
        <is>
          <t>Termo Cl. 7ª Subcl. 1ª — administrative, arbitral AND judicial, plus discontinuance of any pending action.</t>
        </is>
      </c>
    </row>
    <row r="48">
      <c r="A48" s="5" t="inlineStr">
        <is>
          <t>THE ASYMMETRY</t>
        </is>
      </c>
      <c r="B48" s="7" t="inlineStr">
        <is>
          <t>You waive claims on SOBREOFERTA, which the Portaria never pays for</t>
        </is>
      </c>
      <c r="C48" s="7" t="inlineStr">
        <is>
          <t>Cl. 1ª Subcl. 2ª excludes sobreoferta from compensation; Cl. 7ª Subcl. 1ª waives claims on all 'eventos de restrição de geração'. This is the single most important commercial point in the whole instrument.</t>
        </is>
      </c>
    </row>
    <row r="49">
      <c r="A49" s="5" t="inlineStr">
        <is>
          <t>Collective actions</t>
        </is>
      </c>
      <c r="B49" s="7" t="inlineStr">
        <is>
          <t>Express exclusion from the rol de substituídos</t>
        </is>
      </c>
      <c r="C49" s="7" t="inlineStr">
        <is>
          <t>Cl. 7ª Subcl. 3ª — including from the effects of provisional decisions already in force or subsequently granted.</t>
        </is>
      </c>
    </row>
    <row r="50">
      <c r="A50" s="5" t="inlineStr">
        <is>
          <t>Injunctions</t>
        </is>
      </c>
      <c r="B50" s="7" t="inlineStr">
        <is>
          <t>Immediate waiver of all suspensive or protective effects of existing court decisions</t>
        </is>
      </c>
      <c r="C50" s="7" t="inlineStr">
        <is>
          <t>Cl. 7ª Subcl. 5ª; Cl. 8ª obliges the generator not to oppose provisional orders against the União or CCEE.</t>
        </is>
      </c>
    </row>
    <row r="51">
      <c r="A51" s="5" t="inlineStr">
        <is>
          <t>Proof required</t>
        </is>
      </c>
      <c r="B51" s="7" t="inlineStr">
        <is>
          <t>Court petition filed within 10 days of signing; proof to MME</t>
        </is>
      </c>
      <c r="C51" s="7" t="inlineStr">
        <is>
          <t>Cl. 7ª Subcl. 4ª. Payment is CONDITIONAL on that proof (Subcl. 7ª).</t>
        </is>
      </c>
    </row>
    <row r="52">
      <c r="A52" s="5" t="inlineStr">
        <is>
          <t>THE ASYMMETRIC SANCTION</t>
        </is>
      </c>
      <c r="B52" s="7" t="inlineStr">
        <is>
          <t>Fail to prove and compensation is suspended while the other obligations survive — including resumption of the ressarcimentos</t>
        </is>
      </c>
      <c r="C52" s="7" t="inlineStr">
        <is>
          <t>Cl. 7ª Subcl. 8ª, after a 5-day cure. You can end up having waived, being billed, and not being paid.</t>
        </is>
      </c>
    </row>
    <row r="53">
      <c r="A53" s="5" t="inlineStr">
        <is>
          <t>What is NOT waived</t>
        </is>
      </c>
      <c r="B53" s="7" t="inlineStr">
        <is>
          <t>Curtailment events AFTER 25 Nov 2025</t>
        </is>
      </c>
      <c r="C53" s="7" t="inlineStr">
        <is>
          <t>The waiver is bounded by event date, not filing date.</t>
        </is>
      </c>
    </row>
    <row r="54">
      <c r="A54" s="5" t="inlineStr">
        <is>
          <t>Sucumbência</t>
        </is>
      </c>
      <c r="B54" s="7" t="inlineStr">
        <is>
          <t>None payable by either side</t>
        </is>
      </c>
      <c r="C54" s="7" t="inlineStr">
        <is>
          <t>Cl. 7ª Subcl. 6ª, via art. 1º-B §2º and art. 1º §5º, Lei 9.469/1997.</t>
        </is>
      </c>
    </row>
    <row r="55" ht="18" customHeight="1">
      <c r="A55" s="24" t="inlineStr">
        <is>
          <t>TRAPS</t>
        </is>
      </c>
      <c r="B55" s="15" t="inlineStr"/>
      <c r="C55" s="15" t="inlineStr"/>
    </row>
    <row r="56">
      <c r="A56" s="5" t="inlineStr">
        <is>
          <t>Garantia física — A BENEFIT, NOT A COST</t>
        </is>
      </c>
      <c r="B56" s="7" t="inlineStr">
        <is>
          <t>Cut volumes count as generation verificada for the annual garantia física revision — 'passiveis ou nao de compensacao'</t>
        </is>
      </c>
      <c r="C56" s="7" t="inlineStr">
        <is>
          <t>Art. 10 and Termo Cl. 6a. This PROTECTS the plant: counting curtailed MWh as generated is what stops the physical guarantee being revised DOWN for output the plant was ordered not to produce. It applies to sobreoferta cuts too, which are never paid for in cash — so it is the one place the uncompensated volume still earns something. Methodology still 'a ser definida' by MME, so the value cannot yet be quantified, but the direction is favourable and it belongs on the POSITIVE side of the sign/do-not-sign equation.</t>
        </is>
      </c>
    </row>
    <row r="57">
      <c r="A57" s="5" t="inlineStr">
        <is>
          <t>Value it as</t>
        </is>
      </c>
      <c r="B57" s="7" t="inlineStr">
        <is>
          <t>Avoided reduction in future contractable MWh x expected future margin per MWh x duration x methodology probability</t>
        </is>
      </c>
      <c r="C57" s="7" t="inlineStr">
        <is>
          <t>Cannot be computed until MME publishes the methodology. Model it as an option, not a number.</t>
        </is>
      </c>
    </row>
    <row r="58">
      <c r="A58" s="5" t="inlineStr">
        <is>
          <t>The data trap</t>
        </is>
      </c>
      <c r="B58" s="7" t="inlineStr">
        <is>
          <t>Data submitted under arts. 4º/5º enters the ONS/CCEE databases ONLY if you sign</t>
        </is>
      </c>
      <c r="C58" s="7" t="inlineStr">
        <is>
          <t>Art. 11, parágrafo único — a non-signatory's data is 'desconsiderada'. You cannot use the process to improve your dataset and then litigate on it.</t>
        </is>
      </c>
    </row>
    <row r="59">
      <c r="A59" s="5" t="inlineStr">
        <is>
          <t>Blind sign-off</t>
        </is>
      </c>
      <c r="B59" s="7" t="inlineStr">
        <is>
          <t>You accept CCEE's published volumes and classifications BEFORE the cash amount is known</t>
        </is>
      </c>
      <c r="C59" s="7" t="inlineStr">
        <is>
          <t>Termo Cl. 4ª — declarations are 'irretratável e incondicional', including that the data is 'fidedigna… não tendo sido objeto de qualquer tipo de manipulação'.</t>
        </is>
      </c>
    </row>
    <row r="60">
      <c r="A60" s="5" t="inlineStr">
        <is>
          <t>Emolumento</t>
        </is>
      </c>
      <c r="B60" s="7" t="inlineStr">
        <is>
          <t>Payable to CCEE — amount NOT SET in the Portaria</t>
        </is>
      </c>
      <c r="C60" s="7" t="inlineStr">
        <is>
          <t>Art. 2º §5º. CCEE will set it.</t>
        </is>
      </c>
    </row>
    <row r="61">
      <c r="A61" s="5" t="inlineStr">
        <is>
          <t>ASSIGNABILITY</t>
        </is>
      </c>
      <c r="B61" s="7" t="inlineStr">
        <is>
          <t>THE PORTARIA IS ENTIRELY SILENT</t>
        </is>
      </c>
      <c r="C61" s="7" t="inlineStr">
        <is>
          <t>An exhaustive term search returns ZERO occurrences of cessão, cedente/cessionário, transferência, oneração, penhor, caução, garantia real or alienação — in the Portaria or the Termo. Neither authorised nor prohibited. Runs off general law on assignment of credits against the União, plus Cl. 9ª (amendment only by specific instrument between the parties). DO NOT represent the credit as assignable.</t>
        </is>
      </c>
    </row>
    <row r="62" ht="18" customHeight="1">
      <c r="A62" s="24" t="inlineStr">
        <is>
          <t>THE FOUR STEPS A GENERATOR MUST TAKE</t>
        </is>
      </c>
      <c r="B62" s="15" t="inlineStr"/>
      <c r="C62" s="15" t="inlineStr"/>
    </row>
    <row r="63">
      <c r="A63" s="5" t="inlineStr">
        <is>
          <t>1</t>
        </is>
      </c>
      <c r="B63" s="7" t="inlineStr">
        <is>
          <t>By 10 Aug 2026 — file the manifestação prévia de interesse with MME</t>
        </is>
      </c>
      <c r="C63" s="7" t="inlineStr">
        <is>
          <t>Art. 2º I and §1º. Standard form, via the CELEBRA portal at celebra.mme.gov.br.</t>
        </is>
      </c>
    </row>
    <row r="64">
      <c r="A64" s="5" t="inlineStr">
        <is>
          <t>2</t>
        </is>
      </c>
      <c r="B64" s="7" t="inlineStr">
        <is>
          <t>Within 10 days of the convocação despacho — file with CCEE (not MME)</t>
        </is>
      </c>
      <c r="C64" s="7" t="inlineStr">
        <is>
          <t>Art. 2º II: evidence of legal representation carrying 'poderes específicos e expressos para transigir e renunciar direitos', plus proof of the emolumento.</t>
        </is>
      </c>
    </row>
    <row r="65">
      <c r="A65" s="5" t="inlineStr">
        <is>
          <t>3</t>
        </is>
      </c>
      <c r="B65" s="7" t="inlineStr">
        <is>
          <t>Sign the Termo de Compromisso with the Poder Concedente</t>
        </is>
      </c>
      <c r="C65" s="7" t="inlineStr">
        <is>
          <t>Art. 2º III — within the period set in the convocação.</t>
        </is>
      </c>
    </row>
    <row r="66">
      <c r="A66" s="5" t="inlineStr">
        <is>
          <t>4</t>
        </is>
      </c>
      <c r="B66" s="7" t="inlineStr">
        <is>
          <t>Within 10 days of signing — file the court petition and prove it to MME</t>
        </is>
      </c>
      <c r="C66" s="7" t="inlineStr">
        <is>
          <t>Renúncia, desistência, and exclusion from any collective action. Payment is conditional on this.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30" customWidth="1" min="1" max="1"/>
    <col width="132" customWidth="1" min="2" max="2"/>
  </cols>
  <sheetData>
    <row r="1" ht="20" customHeight="1">
      <c r="A1" s="1" t="inlineStr">
        <is>
          <t>Call script — the two weeks to 10 August 2026</t>
        </is>
      </c>
    </row>
    <row r="2">
      <c r="A2" s="2" t="inlineStr">
        <is>
          <t>Advisory first, capital second. The instrument is irrevocable, so the advice is genuinely valuable and genuinely scarce.</t>
        </is>
      </c>
    </row>
    <row r="4" ht="30" customHeight="1">
      <c r="A4" s="3" t="inlineStr"/>
      <c r="B4" s="3" t="inlineStr">
        <is>
          <t>What to say</t>
        </is>
      </c>
    </row>
    <row r="5" ht="18" customHeight="1">
      <c r="A5" s="24" t="inlineStr">
        <is>
          <t>THE SINGLE MOST IMPORTANT THING TO UNDERSTAND — AND ALMOST NOBODY HAS</t>
        </is>
      </c>
      <c r="B5" s="15" t="inlineStr"/>
    </row>
    <row r="6">
      <c r="A6" s="5" t="inlineStr"/>
      <c r="B6" s="7" t="inlineStr">
        <is>
          <t>There are TWO decisions, ten months apart, and they are constantly being confused with each other. The 10 August manifestação de interesse is NOT the waiver. ABSOLAR has said so publicly: filing the manifestation does not bind anyone to drop a lawsuit. The irrevocable renúncia happens at SIGNATURE of the Termo — and the convocação to sign cannot legally issue until ONS finishes its database around late April 2027. Signature therefore lands mid-2027, by which point CCEE has published the actual volumes. So filing by 10 August is cheap optionality and almost everyone should do it. The real decision is ten months later, with the numbers in hand. Anyone telling a generator to agonise over 10 August has misread the instrument.</t>
        </is>
      </c>
    </row>
    <row r="7">
      <c r="A7" s="5" t="inlineStr">
        <is>
          <t>What this does to the engagement</t>
        </is>
      </c>
      <c r="B7" s="7" t="inlineStr">
        <is>
          <t>It is not a two-week campaign. It is a ten-month advisory position — a free and easy first call now, then the classification audit, then the ONS contestation window around March 2027, then the signature decision in mid-2027. That is a far better business than a fortnight of cold calls.</t>
        </is>
      </c>
    </row>
    <row r="8" ht="18" customHeight="1">
      <c r="A8" s="24" t="inlineStr">
        <is>
          <t>THE OPENING — 20 SECONDS</t>
        </is>
      </c>
      <c r="B8" s="15" t="inlineStr"/>
    </row>
    <row r="9">
      <c r="A9" s="5" t="inlineStr">
        <is>
          <t>Say this</t>
        </is>
      </c>
      <c r="B9" s="7" t="inlineStr">
        <is>
          <t>"You have until 10 August to file the manifestação under Portaria 140. I am not calling to sell you anything. I am calling because most people are treating 10 August as the decision, and it is not — the waiver does not bite until you sign, and that is mid-2027. What matters between now and then is whether your cut hours are correctly classified, and almost nobody is auditing that."</t>
        </is>
      </c>
    </row>
    <row r="10">
      <c r="A10" s="5" t="inlineStr">
        <is>
          <t>Why it works</t>
        </is>
      </c>
      <c r="B10" s="7" t="inlineStr">
        <is>
          <t>It is a date, it is true, and it tells them within one sentence that you have read the instrument rather than a law firm summary.</t>
        </is>
      </c>
    </row>
    <row r="11" ht="18" customHeight="1">
      <c r="A11" s="24" t="inlineStr">
        <is>
          <t>THE FOUR THINGS ACTUALLY WORTH MONEY TO THEM</t>
        </is>
      </c>
      <c r="B11" s="15" t="inlineStr"/>
    </row>
    <row r="12">
      <c r="A12" s="5" t="inlineStr">
        <is>
          <t>1 — The classification is a black box, and it decides everything</t>
        </is>
      </c>
      <c r="B12" s="7" t="inlineStr">
        <is>
          <t>"Whether an hour is coded confiabilidade or sobreoferta decides whether you are paid for it. Volt Robotics tested MME's SOSIN formula and found it produces 143 per cent more sobreoferta than ONS's own calculation. The share coded non-compensable has gone from 27 per cent in 2023 to 65 per cent in the first half of 2026. There is a ten-day contestation window after ONS's consistency analysis, around March 2027. Every point you move from sobreoferta to confiabilidade is cash. Is anyone re-running your hours?"</t>
        </is>
      </c>
    </row>
    <row r="13">
      <c r="A13" s="5" t="inlineStr">
        <is>
          <t>2 — Nobody knows which PLD applies</t>
        </is>
      </c>
      <c r="B13" s="7" t="inlineStr">
        <is>
          <t>"Cláusula Quinta values your uncommitted volume at PLD — but the Termo never says whether that is the PLD at the time of the cut or at the date of compensation. Lefosse have flagged it. Nordeste PLD sat at the R$58 floor for most of early 2025 and averaged R$227 across 2026. On a large book that ambiguity is worth nine figures. It should be resolved before you sign, not after."</t>
        </is>
      </c>
    </row>
    <row r="14">
      <c r="A14" s="5" t="inlineStr">
        <is>
          <t>3 — Signing turns a suspended liability into an enforceable one</t>
        </is>
      </c>
      <c r="B14" s="7" t="inlineStr">
        <is>
          <t>"This is the one that gets missed. Cláusula Oitava: on signing you authorise CCEE to resume billing the CCEAR-D and CER ressarcimentos you owe, and you undertake not to oppose provisional orders against the União or CCEE. If a court decision is currently the only thing keeping a nine-figure CCEE liability off your books, you are converting it into an enforceable debt today, against a credit that pays in late 2027. That trade has to be modelled, not assumed."</t>
        </is>
      </c>
    </row>
    <row r="15">
      <c r="A15" s="5" t="inlineStr">
        <is>
          <t>4 — But the near-term carrot is real, and it is not the credit</t>
        </is>
      </c>
      <c r="B15" s="7" t="inlineStr">
        <is>
          <t>"Article 6 paragraph 3: file the manifestação and CCEE's settlement of what you owe under CER and CCEAR-D stays suspended through the whole process. For anyone tight on cash that is worth more right now than the compensation itself. It is also why filing by 10 August is close to free."</t>
        </is>
      </c>
    </row>
    <row r="16" ht="18" customHeight="1">
      <c r="A16" s="24" t="inlineStr">
        <is>
          <t>THE TWO STRUCTURAL POINTS TO HAVE READY</t>
        </is>
      </c>
      <c r="B16" s="15" t="inlineStr"/>
    </row>
    <row r="17">
      <c r="A17" s="5" t="inlineStr">
        <is>
          <t>Most of it is not cash</t>
        </is>
      </c>
      <c r="B17" s="7" t="inlineStr">
        <is>
          <t>Cláusula Quinta treats curtailed MWh as delivered against CCEAR-D and CER first, which cancels a debt rather than paying anyone. Only uncommitted volume is paid at PLD. Sector-wide, ~R$3.3bn of credit nets against ~R$6bn owed, so generators stay net owing even after full compensation. ASK WHICH SIDE THEY ARE ON — it cannot be worked out from outside, and that is exactly why the question opens the conversation.</t>
        </is>
      </c>
    </row>
    <row r="18">
      <c r="A18" s="5" t="inlineStr">
        <is>
          <t>The veto is still alive</t>
        </is>
      </c>
      <c r="B18" s="7" t="inlineStr">
        <is>
          <t>The vetoed art. 1º-A would have compensated all externally-caused cuts except sobreoferta, retroactively. Congress pulled the override from the agenda on 18 June 2026 and has still not voted it. The Termo's waiver is bounded by event date, not by which law creates the right — so signing surrenders that option for nothing.</t>
        </is>
      </c>
    </row>
    <row r="19" ht="18" customHeight="1">
      <c r="A19" s="24" t="inlineStr">
        <is>
          <t>WHAT YOU ARE OFFERING ON CALL ONE</t>
        </is>
      </c>
      <c r="B19" s="15" t="inlineStr"/>
    </row>
    <row r="20">
      <c r="A20" s="5" t="inlineStr">
        <is>
          <t>The offer</t>
        </is>
      </c>
      <c r="B20" s="7" t="inlineStr">
        <is>
          <t>Re-run their curtailment hours against ONS's own classification and tell them what share is being coded sobreoferta that should not be — plus the two-sided number: what the Portaria pays them, split cash versus debt relief, against what the waiver and the garantia física revision cost them. We have already built the eligible-volume base for all 267 complexes in the country from ONS open data, so their line already exists.</t>
        </is>
      </c>
    </row>
    <row r="21">
      <c r="A21" s="5" t="inlineStr">
        <is>
          <t>Price it or not?</t>
        </is>
      </c>
      <c r="B21" s="7" t="inlineStr">
        <is>
          <t>Free for the priority names. The analysis is what earns the right to the 2027 conversation, and that is where capital goes to work.</t>
        </is>
      </c>
    </row>
    <row r="22" ht="18" customHeight="1">
      <c r="A22" s="24" t="inlineStr">
        <is>
          <t>WHAT YOU DO NOT SAY ON CALL ONE</t>
        </is>
      </c>
      <c r="B22" s="15" t="inlineStr"/>
    </row>
    <row r="23">
      <c r="A23" s="5" t="inlineStr">
        <is>
          <t>Do not</t>
        </is>
      </c>
      <c r="B23" s="7" t="inlineStr">
        <is>
          <t>Do not offer to buy the credit. There is no Termo, no quantified amount and no título executivo until mid-2027. There is literally nothing to buy yet.</t>
        </is>
      </c>
    </row>
    <row r="24">
      <c r="A24" s="5" t="inlineStr">
        <is>
          <t>Do not</t>
        </is>
      </c>
      <c r="B24" s="7" t="inlineStr">
        <is>
          <t>Do not claim the credit is assignable. The Portaria contains zero occurrences of cessão, transferência, oneração, penhor or caução. It is silent. If asked directly, say exactly that.</t>
        </is>
      </c>
    </row>
    <row r="25">
      <c r="A25" s="5" t="inlineStr">
        <is>
          <t>Do not</t>
        </is>
      </c>
      <c r="B25" s="7" t="inlineStr">
        <is>
          <t>Do not quote R$3.3bn as fact. No primary document states any pool figure, and MME says the values are not yet defined.</t>
        </is>
      </c>
    </row>
    <row r="26">
      <c r="A26" s="5" t="inlineStr">
        <is>
          <t>Do not</t>
        </is>
      </c>
      <c r="B26" s="7" t="inlineStr">
        <is>
          <t>Do not tell them whether to sign. You are quantifying both sides. For most of them the honest answer today is: file in August, audit your classification in between, decide in 2027.</t>
        </is>
      </c>
    </row>
    <row r="27" ht="18" customHeight="1">
      <c r="A27" s="24" t="inlineStr">
        <is>
          <t>WHERE THE CAPITAL ACTUALLY GOES</t>
        </is>
      </c>
      <c r="B27" s="15" t="inlineStr"/>
    </row>
    <row r="28">
      <c r="A28" s="5" t="inlineStr">
        <is>
          <t>Not the holdcos</t>
        </is>
      </c>
      <c r="B28" s="7" t="inlineStr">
        <is>
          <t>Casa dos Ventos holds the largest eligible claim in the country and does not need us — it raised US$1.1bn in a US private placement in June 2026. Essentia is buying assets, not selling claims. Call them for information and relationship, not for a financing.</t>
        </is>
      </c>
    </row>
    <row r="29">
      <c r="A29" s="5" t="inlineStr">
        <is>
          <t>The project-finance SPEs — this is the population</t>
        </is>
      </c>
      <c r="B29" s="7" t="inlineStr">
        <is>
          <t>Fitch put 13 Brazilian renewable project financings on Rating Watch Negative in October 2025 explicitly on curtailment, downgraded 6 by May 2026, and left 11 on negative outlook with pressure projected to persist to 2030. Tupi (BRL 820m, sponsor Ibitu, PPAs with Cemig GT) runs a minimum DSCR of 1.03x and cannot distribute below 1.25x. ENGIE's São Pedro IV averages 0.75x. These vehicles cannot wait until 2028 and cannot pay a dividend in the meantime. That is where a bridge is worth something.</t>
        </is>
      </c>
    </row>
    <row r="30">
      <c r="A30" s="5" t="inlineStr">
        <is>
          <t>The one acute name</t>
        </is>
      </c>
      <c r="B30" s="7" t="inlineStr">
        <is>
          <t>Rio Alto: extrajudicial recovery extinguished without resolution in June 2026, BTG enforcing Santa Luzia 5, 7 and 9, a sale mandated to close by end-2026 with no buyer, Coremas averaging 52 per cent restricted and Santa Luzia 35.8 per cent. It cannot survive to late 2027 on this credit. Whatever the right answer is there, it is not a bridge loan.</t>
        </is>
      </c>
    </row>
    <row r="31">
      <c r="A31" s="5" t="inlineStr">
        <is>
          <t>Also worth knowing</t>
        </is>
      </c>
      <c r="B31" s="7" t="inlineStr">
        <is>
          <t>BNDES opened case-by-case debt standstills for curtailment-hit projects in October 2025, with parallel talks at BNB and Banco do Brasil. Atlas Renewable Energy suspended roughly 1.5 GW and US$1bn of Brazilian projects in June 2026 explicitly over curtailment. The distress is real and it is being managed quietly.</t>
        </is>
      </c>
    </row>
    <row r="32" ht="18" customHeight="1">
      <c r="A32" s="24" t="inlineStr">
        <is>
          <t>HANDLING THE OBVIOUS PUSHBACKS</t>
        </is>
      </c>
      <c r="B32" s="15" t="inlineStr"/>
    </row>
    <row r="33">
      <c r="A33" s="5" t="inlineStr">
        <is>
          <t>"Our lawyers are on it"</t>
        </is>
      </c>
      <c r="B33" s="7" t="inlineStr">
        <is>
          <t>"Only Lefosse and Mattos Filho have published anything on this, and nobody has filed a request for clarification in the days since publication. Ask your lawyers one question: which PLD applies to our uncommitted volume — the date of the cut, or the date of payment? If they have an answer, you do not need me."</t>
        </is>
      </c>
    </row>
    <row r="34">
      <c r="A34" s="5" t="inlineStr">
        <is>
          <t>"ABEEólica is handling it"</t>
        </is>
      </c>
      <c r="B34" s="7" t="inlineStr">
        <is>
          <t>"Elbia Gannoum has said publicly she cannot guarantee adhesion of 100 per cent or of 50 per cent. And the Termo excludes you from the collective action individually, by name. Whether that trade works for you depends on your contract mix and your classification split, and no association can answer that member by member."</t>
        </is>
      </c>
    </row>
    <row r="35">
      <c r="A35" s="5" t="inlineStr">
        <is>
          <t>"Why do you care?"</t>
        </is>
      </c>
      <c r="B35" s="7" t="inlineStr">
        <is>
          <t>"We finance receivables against solvent obligors in Brazil. This creates a large one with a two-year wait attached. The fastest way to understand it properly is to work through real books with people who own the assets. If something commercial follows later, it follows later."</t>
        </is>
      </c>
    </row>
    <row r="36">
      <c r="A36" s="5" t="inlineStr">
        <is>
          <t>"Send me a deck"</t>
        </is>
      </c>
      <c r="B36" s="7" t="inlineStr">
        <is>
          <t>"I would rather send you your own numbers. We have already built the eligible-volume base for every complex in the country from ONS data. Tell me which complexes are yours and you will have your own line by the end of the week."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5"/>
  <sheetViews>
    <sheetView workbookViewId="0">
      <pane ySplit="4" topLeftCell="A5" activePane="bottomLeft" state="frozen"/>
      <selection pane="bottomLeft" activeCell="A1" sqref="A1"/>
    </sheetView>
  </sheetViews>
  <sheetFormatPr baseColWidth="8" defaultRowHeight="15"/>
  <cols>
    <col width="56" customWidth="1" min="1" max="1"/>
    <col width="92" customWidth="1" min="2" max="2"/>
    <col width="76" customWidth="1" min="3" max="3"/>
  </cols>
  <sheetData>
    <row r="1">
      <c r="A1" s="1" t="inlineStr">
        <is>
          <t>Sources</t>
        </is>
      </c>
    </row>
    <row r="2">
      <c r="A2" s="2" t="inlineStr">
        <is>
          <t>Everything in this workbook is traceable to a row below. Where a figure could not be traced to a primary document, the workbook says so.</t>
        </is>
      </c>
    </row>
    <row r="4" ht="32" customHeight="1">
      <c r="A4" s="3" t="inlineStr">
        <is>
          <t>Source</t>
        </is>
      </c>
      <c r="B4" s="3" t="inlineStr">
        <is>
          <t>What it gives you, and any caveat</t>
        </is>
      </c>
      <c r="C4" s="3" t="inlineStr">
        <is>
          <t>Link</t>
        </is>
      </c>
    </row>
    <row r="5">
      <c r="A5" s="24" t="inlineStr">
        <is>
          <t>PRIMARY — THE INSTRUMENT</t>
        </is>
      </c>
      <c r="B5" s="15" t="inlineStr"/>
      <c r="C5" s="15" t="inlineStr"/>
    </row>
    <row r="6">
      <c r="A6" s="5" t="inlineStr">
        <is>
          <t>Portaria Normativa MME nº 140, de 18 de julho de 2026</t>
        </is>
      </c>
      <c r="B6" s="7" t="inlineStr">
        <is>
          <t>DOU 21/07/2026, Ed. 135-A, Seção 1 Extra A, p.10</t>
        </is>
      </c>
      <c r="C6" s="29" t="inlineStr">
        <is>
          <t>https://www.in.gov.br/web/dou/-/portaria-normativa-mme-n-140-de-18-de-julho-de-2026-720529777</t>
        </is>
      </c>
    </row>
    <row r="7">
      <c r="A7" s="5" t="inlineStr">
        <is>
          <t>MME release on the Portaria</t>
        </is>
      </c>
      <c r="B7" s="7" t="inlineStr">
        <is>
          <t>gov.br/mme</t>
        </is>
      </c>
      <c r="C7" s="29" t="inlineStr">
        <is>
          <t>https://www.gov.br/mme/pt-br/assuntos/noticias/mme-regulamenta-procedimentos-para-celebracao-de-termo-de-compromisso-sobre-compensacao-por-cortes-de-geracao</t>
        </is>
      </c>
    </row>
    <row r="8">
      <c r="A8" s="5" t="inlineStr">
        <is>
          <t>CELEBRA — the election portal</t>
        </is>
      </c>
      <c r="B8" s="7" t="inlineStr">
        <is>
          <t>Where the manifestação de interesse is filed by 10 Aug 2026</t>
        </is>
      </c>
      <c r="C8" s="29" t="inlineStr">
        <is>
          <t>https://celebra.mme.gov.br/</t>
        </is>
      </c>
    </row>
    <row r="9">
      <c r="A9" s="5" t="inlineStr">
        <is>
          <t>Lei 10.848/2004, art. 1º-B</t>
        </is>
      </c>
      <c r="B9" s="7" t="inlineStr">
        <is>
          <t>Inserted by Lei 15.269/2025 — the statutory basis</t>
        </is>
      </c>
      <c r="C9" s="29" t="inlineStr">
        <is>
          <t>https://www.planalto.gov.br/ccivil_03/_ato2004-2006/2004/lei/l10.848.htm</t>
        </is>
      </c>
    </row>
    <row r="10">
      <c r="A10" s="5" t="inlineStr">
        <is>
          <t>Lei 15.269/2025</t>
        </is>
      </c>
      <c r="B10" s="7" t="inlineStr">
        <is>
          <t>Sanctioned 24 Nov 2025, published 25 Nov 2025</t>
        </is>
      </c>
      <c r="C10" s="29" t="inlineStr">
        <is>
          <t>https://www.planalto.gov.br/ccivil_03/_ato2023-2026/2025/lei/L15269.htm</t>
        </is>
      </c>
    </row>
    <row r="11">
      <c r="A11" s="5" t="inlineStr">
        <is>
          <t>Veto message VEP-1755-25</t>
        </is>
      </c>
      <c r="B11" s="7" t="inlineStr">
        <is>
          <t>The vetoed art. 1º-A — STILL NOT VOTED BY CONGRESS</t>
        </is>
      </c>
      <c r="C11" s="29" t="inlineStr">
        <is>
          <t>https://www.planalto.gov.br/ccivil_03/_ato2023-2026/2025/Msg/Vep/VEP-1755-25.htm</t>
        </is>
      </c>
    </row>
    <row r="12">
      <c r="A12" s="5" t="inlineStr">
        <is>
          <t>ANEEL Voto, Proc. 48500.000231/2026-56</t>
        </is>
      </c>
      <c r="B12" s="7" t="inlineStr">
        <is>
          <t>Diretora Agnes Maria de Aragão da Costa, Jan 2026. Authoritative source for the 46% ENE / 41% CNF / 13% REL split</t>
        </is>
      </c>
      <c r="C12" s="29" t="inlineStr">
        <is>
          <t>https://canalsolar.com.br/wp-content/uploads/2026/01/voto.pdf</t>
        </is>
      </c>
    </row>
    <row r="13">
      <c r="A13" s="24" t="inlineStr">
        <is>
          <t>DATA — COMPUTED FOR THIS ANALYSIS</t>
        </is>
      </c>
      <c r="B13" s="15" t="inlineStr"/>
      <c r="C13" s="15" t="inlineStr"/>
    </row>
    <row r="14">
      <c r="A14" s="5" t="inlineStr">
        <is>
          <t>ONS constrained-off, wind, per apuração unit</t>
        </is>
      </c>
      <c r="B14" s="7" t="inlineStr">
        <is>
          <t>Half-hourly, Oct 2021 → Jul 2026, CC-BY. The eligible-claim column is built from this.</t>
        </is>
      </c>
      <c r="C14" s="29" t="inlineStr">
        <is>
          <t>https://dados.ons.org.br/dataset/restricao_coff_eolica_usi</t>
        </is>
      </c>
    </row>
    <row r="15">
      <c r="A15" s="5" t="inlineStr">
        <is>
          <t>ONS constrained-off, wind, per plant</t>
        </is>
      </c>
      <c r="B15" s="7" t="inlineStr">
        <is>
          <t>1,053 individual plants with CEG — the ownership join</t>
        </is>
      </c>
      <c r="C15" s="29" t="inlineStr">
        <is>
          <t>https://dados.ons.org.br/dataset/restricao_coff_eolica_detail</t>
        </is>
      </c>
    </row>
    <row r="16">
      <c r="A16" s="5" t="inlineStr">
        <is>
          <t>ONS constrained-off, solar</t>
        </is>
      </c>
      <c r="B16" s="7" t="inlineStr">
        <is>
          <t>SERIES STARTS APRIL 2024 — there is no public solar curtailment data before that</t>
        </is>
      </c>
      <c r="C16" s="29" t="inlineStr">
        <is>
          <t>https://dados.ons.org.br/dataset/restricao_coff_fotovoltaica</t>
        </is>
      </c>
    </row>
    <row r="17">
      <c r="A17" s="5" t="inlineStr">
        <is>
          <t>ANEEL SIGA</t>
        </is>
      </c>
      <c r="B17" s="7" t="inlineStr">
        <is>
          <t>Ownership and capacity by CEG. 98.9% of the CEGs in the ONS detail files matched.</t>
        </is>
      </c>
      <c r="C17" s="29" t="inlineStr">
        <is>
          <t>https://dadosabertos.aneel.gov.br/dataset/siga-sistema-de-informacoes-de-geracao-da-aneel</t>
        </is>
      </c>
    </row>
    <row r="18">
      <c r="A18" s="5" t="inlineStr">
        <is>
          <t>CCEE — encargo received per agent and per plant</t>
        </is>
      </c>
      <c r="B18" s="7" t="inlineStr">
        <is>
          <t>Includes an ENCARGO_CONSTRAINED_OFF column, monthly 202311→202605</t>
        </is>
      </c>
      <c r="C18" s="29" t="inlineStr">
        <is>
          <t>https://dadosabertos.ccee.org.br/dataset/encargo_recebido_perfil_agente_usina</t>
        </is>
      </c>
    </row>
    <row r="19">
      <c r="A19" s="5" t="inlineStr">
        <is>
          <t>CCEE PLD</t>
        </is>
      </c>
      <c r="B19" s="7" t="inlineStr">
        <is>
          <t>Nordeste monthly average: 2024 R$118.34 · 2025 R$176.60 · 2026 YTD R$226.63. Floor 2026 R$57.31.</t>
        </is>
      </c>
      <c r="C19" s="29" t="inlineStr">
        <is>
          <t>https://dadosabertos.ccee.org.br/dataset/pld_horario</t>
        </is>
      </c>
    </row>
    <row r="20">
      <c r="A20" s="24" t="inlineStr">
        <is>
          <t>SIZING — THE COMPETING ESTIMATES</t>
        </is>
      </c>
      <c r="B20" s="15" t="inlineStr"/>
      <c r="C20" s="15" t="inlineStr"/>
    </row>
    <row r="21">
      <c r="A21" s="5" t="inlineStr">
        <is>
          <t>MME ~R$3.3bn netted against ~R$6bn owed to CCEE</t>
        </is>
      </c>
      <c r="B21" s="7" t="inlineStr">
        <is>
          <t>Poder360, 22 Jul 2026. NO PRIMARY DOCUMENT STATES ANY POOL FIGURE.</t>
        </is>
      </c>
      <c r="C21" s="29" t="inlineStr">
        <is>
          <t>https://www.poder360.com.br/poder-governo/governo-regulamenta-acordo-de-r-33-bi-com-usinas-renovaveis/</t>
        </is>
      </c>
    </row>
    <row r="22">
      <c r="A22" s="5" t="inlineStr">
        <is>
          <t>Volt Robotics — R$2.7bn compensable; classification is a black box</t>
        </is>
      </c>
      <c r="B22" s="7" t="inlineStr">
        <is>
          <t>eixos / MegaWhat, 23 Jul 2026. Found MME's SOSIN formula produces 143% more sobreoferta than ONS's own method.</t>
        </is>
      </c>
      <c r="C22" s="29" t="inlineStr">
        <is>
          <t>https://eixos.com.br/politica/volt-robotics-estima-ressarcimento-por-cortes-de-geracao-em-r-27-bilhoes-e-aponta-falta-de-clareza-na-classificacao/</t>
        </is>
      </c>
    </row>
    <row r="23">
      <c r="A23" s="5" t="inlineStr">
        <is>
          <t>Instituto Acende Brasil — R$3.85bn all cuts at PLD, R$2.85bn compensable</t>
        </is>
      </c>
      <c r="B23" s="7" t="inlineStr">
        <is>
          <t>Senate CI hearing, 30 Sep 2025. Best-documented independent methodology.</t>
        </is>
      </c>
      <c r="C23" s="29" t="inlineStr">
        <is>
          <t>https://acendebrasil.com.br/wp-content/uploads/2025/09/20250930_AcendeBr_AP_CI_Senado_Curtailment_rev_3-1.pdf</t>
        </is>
      </c>
    </row>
    <row r="24">
      <c r="A24" s="5" t="inlineStr">
        <is>
          <t>Volt Robotics — 2025 balanço: R$6.5bn, 20.6% of available generation</t>
        </is>
      </c>
      <c r="B24" s="7" t="inlineStr">
        <is>
          <t>Jan 2026</t>
        </is>
      </c>
      <c r="C24" s="29" t="inlineStr">
        <is>
          <t>https://cenarioenergia.com.br/wp-content/uploads/2026/01/VoltRobotics_AnaliseCurtailment_Balanco-2025_Janeiro-2026.pdf</t>
        </is>
      </c>
    </row>
    <row r="25">
      <c r="A25" s="5" t="inlineStr">
        <is>
          <t>Fitch per-company 2025 EBITDA impact</t>
        </is>
      </c>
      <c r="B25" s="7" t="inlineStr">
        <is>
          <t>Auren R$400m · Serena R$200m · Engie Brasil R$150m. Via NeoFeed, 25 Feb 2026.</t>
        </is>
      </c>
      <c r="C25" s="29" t="inlineStr">
        <is>
          <t>https://neofeed.com.br/negocios/brasil-desperdica-20-de-sua-energia-renovavel-e-gera-prejuizos-bilionarios-a-empresas-do-setor-eletrico/</t>
        </is>
      </c>
    </row>
    <row r="26">
      <c r="A26" s="24" t="inlineStr">
        <is>
          <t>LITIGATION</t>
        </is>
      </c>
      <c r="B26" s="15" t="inlineStr"/>
      <c r="C26" s="15" t="inlineStr"/>
    </row>
    <row r="27">
      <c r="A27" s="5" t="inlineStr">
        <is>
          <t>The census of twelve suits, with process numbers</t>
        </is>
      </c>
      <c r="B27" s="7" t="inlineStr">
        <is>
          <t>MegaWhat, 31 Oct 2024. None had obtained a liminar.</t>
        </is>
      </c>
      <c r="C27" s="29" t="inlineStr">
        <is>
          <t>https://megawhat.energy/geracao/aneel-ja-e-alvo-de-12-acoes-judiciais-por-curtailment/</t>
        </is>
      </c>
    </row>
    <row r="28">
      <c r="A28" s="5" t="inlineStr">
        <is>
          <t>STJ suspends the one TRF1 injunction</t>
        </is>
      </c>
      <c r="B28" s="7" t="inlineStr">
        <is>
          <t>SLS 3.546, Min. Herman Benjamin, Jan 2025</t>
        </is>
      </c>
      <c r="C28" s="29" t="inlineStr">
        <is>
          <t>https://www.arandanet.com.br/revista/em/noticia/10214-Aneel-consegue-suspender-liminar-do-constrained-off-no-STJ.html</t>
        </is>
      </c>
    </row>
    <row r="29">
      <c r="A29" s="5" t="inlineStr">
        <is>
          <t>Congress removes the veto override from the agenda</t>
        </is>
      </c>
      <c r="B29" s="7" t="inlineStr">
        <is>
          <t>Canal Solar, 17 Jun 2026 — STILL UNVOTED as at 26 Jul 2026</t>
        </is>
      </c>
      <c r="C29" s="29" t="inlineStr">
        <is>
          <t>https://canalsolar.com.br/congresso-analisa-vetos-regras-gd-eolicas-offshore/</t>
        </is>
      </c>
    </row>
    <row r="30">
      <c r="A30" s="5" t="inlineStr">
        <is>
          <t>Industry expects continuing litigation</t>
        </is>
      </c>
      <c r="B30" s="7" t="inlineStr">
        <is>
          <t>eixos, 23 Jul 2026</t>
        </is>
      </c>
      <c r="C30" s="29" t="inlineStr">
        <is>
          <t>https://eixos.com.br/energias-renovaveis/portaria-traz-alivio-mas-nao-encerra-judicializacao-sobre-cortes-de-geracao-avaliam-geradores-e-especialistas/</t>
        </is>
      </c>
    </row>
    <row r="31">
      <c r="A31" s="24" t="inlineStr">
        <is>
          <t>COMPANY DISCLOSURE</t>
        </is>
      </c>
      <c r="B31" s="15" t="inlineStr"/>
      <c r="C31" s="15" t="inlineStr"/>
    </row>
    <row r="32">
      <c r="A32" s="5" t="inlineStr">
        <is>
          <t>Voltalia books R$175m of curtailment ressarcimento in Q2 2026</t>
        </is>
      </c>
      <c r="B32" s="7" t="inlineStr">
        <is>
          <t>THE FIRST REALISED COMPENSATION FIGURE IN THE MARKET. MegaWhat, 23 Jul 2026.</t>
        </is>
      </c>
      <c r="C32" s="29" t="inlineStr">
        <is>
          <t>https://megawhat.uol.com.br/economia-e-politica/resultados/voltalia-contabiliza-r-175-mi-em-ressarcimento-do-curtailment-no-resultado-do-2o-tri/</t>
        </is>
      </c>
    </row>
    <row r="33">
      <c r="A33" s="5" t="inlineStr">
        <is>
          <t>CPFL FY2025 — R$558m lost revenue, 30.8% curtailment</t>
        </is>
      </c>
      <c r="B33" s="7" t="inlineStr">
        <is>
          <t>CPFL 4T25 release. The most transparent disclosure in the sector.</t>
        </is>
      </c>
      <c r="C33" s="29" t="inlineStr">
        <is>
          <t>https://ri.cpfl.com.br/</t>
        </is>
      </c>
    </row>
    <row r="34">
      <c r="A34" s="5" t="inlineStr">
        <is>
          <t>Engie 4T25 — curtailment in percentages only, no R$</t>
        </is>
      </c>
      <c r="B34" s="7" t="inlineStr">
        <is>
          <t>Worst assets: Santo Agostinho 36%, Trairi 31%, Campo Largo 17%, Serra do Assuruá 14%</t>
        </is>
      </c>
      <c r="C34" s="29" t="inlineStr">
        <is>
          <t>https://www.engie.com.br/wp-content/uploads/2026/02/260225-Release-de-Resultados-4T25.pdf</t>
        </is>
      </c>
    </row>
    <row r="35">
      <c r="A35" s="5" t="inlineStr">
        <is>
          <t>Auren — the only listed generator publishing an explicit R$ curtailment table</t>
        </is>
      </c>
      <c r="B35" s="7" t="inlineStr">
        <is>
          <t>FY2025 gross R$529.5m, R$333.6m net of modulation gains</t>
        </is>
      </c>
      <c r="C35" s="29" t="inlineStr">
        <is>
          <t>https://ri.auren.com.br/</t>
        </is>
      </c>
    </row>
  </sheetData>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1" r:id="rId14"/>
    <hyperlink xmlns:r="http://schemas.openxmlformats.org/officeDocument/2006/relationships" ref="C22" r:id="rId15"/>
    <hyperlink xmlns:r="http://schemas.openxmlformats.org/officeDocument/2006/relationships" ref="C23" r:id="rId16"/>
    <hyperlink xmlns:r="http://schemas.openxmlformats.org/officeDocument/2006/relationships" ref="C24" r:id="rId17"/>
    <hyperlink xmlns:r="http://schemas.openxmlformats.org/officeDocument/2006/relationships" ref="C25" r:id="rId18"/>
    <hyperlink xmlns:r="http://schemas.openxmlformats.org/officeDocument/2006/relationships" ref="C27" r:id="rId19"/>
    <hyperlink xmlns:r="http://schemas.openxmlformats.org/officeDocument/2006/relationships" ref="C28" r:id="rId20"/>
    <hyperlink xmlns:r="http://schemas.openxmlformats.org/officeDocument/2006/relationships" ref="C29" r:id="rId21"/>
    <hyperlink xmlns:r="http://schemas.openxmlformats.org/officeDocument/2006/relationships" ref="C30" r:id="rId22"/>
    <hyperlink xmlns:r="http://schemas.openxmlformats.org/officeDocument/2006/relationships" ref="C32" r:id="rId23"/>
    <hyperlink xmlns:r="http://schemas.openxmlformats.org/officeDocument/2006/relationships" ref="C33" r:id="rId24"/>
    <hyperlink xmlns:r="http://schemas.openxmlformats.org/officeDocument/2006/relationships" ref="C34" r:id="rId25"/>
    <hyperlink xmlns:r="http://schemas.openxmlformats.org/officeDocument/2006/relationships" ref="C35"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2026-07-26T21:06:34Z</dcterms:created>
  <dcterms:modified xmlns:dcterms="http://purl.org/dc/terms/" xmlns:xsi="http://www.w3.org/2001/XMLSchema-instance" xsi:type="dcterms:W3CDTF">2026-07-26T21:06:35Z</dcterms:modified>
</cp:coreProperties>
</file>